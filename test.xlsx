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5041DB11-47AA-41DD-927A-0DB694DCC8D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20сек" sheetId="2" r:id="rId1"/>
    <sheet name="10сек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84" i="2" l="1"/>
  <c r="R176" i="2"/>
  <c r="AA170" i="2"/>
  <c r="AF170" i="2" s="1"/>
  <c r="Z170" i="2"/>
  <c r="X170" i="2"/>
  <c r="AA169" i="2"/>
  <c r="Z169" i="2"/>
  <c r="AF169" i="2" s="1"/>
  <c r="Y169" i="2"/>
  <c r="P169" i="2"/>
  <c r="Q169" i="2" s="1"/>
  <c r="AA168" i="2"/>
  <c r="Z168" i="2"/>
  <c r="X168" i="2"/>
  <c r="AA167" i="2"/>
  <c r="Z167" i="2"/>
  <c r="Y167" i="2"/>
  <c r="AA166" i="2"/>
  <c r="Z166" i="2"/>
  <c r="AF166" i="2" s="1"/>
  <c r="X166" i="2"/>
  <c r="T166" i="2"/>
  <c r="AA165" i="2"/>
  <c r="AB165" i="2" s="1"/>
  <c r="AC165" i="2" s="1"/>
  <c r="Z165" i="2"/>
  <c r="AF165" i="2" s="1"/>
  <c r="Y165" i="2"/>
  <c r="AF164" i="2"/>
  <c r="AA164" i="2"/>
  <c r="AB164" i="2" s="1"/>
  <c r="AC164" i="2" s="1"/>
  <c r="Z164" i="2"/>
  <c r="X164" i="2"/>
  <c r="AA163" i="2"/>
  <c r="AF163" i="2" s="1"/>
  <c r="Z163" i="2"/>
  <c r="Y163" i="2"/>
  <c r="F163" i="2"/>
  <c r="E163" i="2"/>
  <c r="AA162" i="2"/>
  <c r="Z162" i="2"/>
  <c r="AF162" i="2" s="1"/>
  <c r="X162" i="2"/>
  <c r="J162" i="2"/>
  <c r="K162" i="2" s="1"/>
  <c r="AB161" i="2"/>
  <c r="AC161" i="2" s="1"/>
  <c r="AA161" i="2"/>
  <c r="Z161" i="2"/>
  <c r="AF161" i="2" s="1"/>
  <c r="Y161" i="2"/>
  <c r="AF160" i="2"/>
  <c r="AA160" i="2"/>
  <c r="Z160" i="2"/>
  <c r="AB160" i="2" s="1"/>
  <c r="AC160" i="2" s="1"/>
  <c r="X160" i="2"/>
  <c r="AA159" i="2"/>
  <c r="AB159" i="2" s="1"/>
  <c r="AC159" i="2" s="1"/>
  <c r="Z159" i="2"/>
  <c r="Y159" i="2"/>
  <c r="AA158" i="2"/>
  <c r="Z158" i="2"/>
  <c r="AF158" i="2" s="1"/>
  <c r="X158" i="2"/>
  <c r="AA157" i="2"/>
  <c r="AB157" i="2" s="1"/>
  <c r="AC157" i="2" s="1"/>
  <c r="Z157" i="2"/>
  <c r="Y157" i="2"/>
  <c r="AA156" i="2"/>
  <c r="Z156" i="2"/>
  <c r="AF156" i="2" s="1"/>
  <c r="X156" i="2"/>
  <c r="AA155" i="2"/>
  <c r="AB155" i="2" s="1"/>
  <c r="AC155" i="2" s="1"/>
  <c r="Z155" i="2"/>
  <c r="Y155" i="2"/>
  <c r="AA154" i="2"/>
  <c r="AB154" i="2" s="1"/>
  <c r="AC154" i="2" s="1"/>
  <c r="Z154" i="2"/>
  <c r="X154" i="2"/>
  <c r="AB153" i="2"/>
  <c r="AC153" i="2" s="1"/>
  <c r="AA153" i="2"/>
  <c r="Z153" i="2"/>
  <c r="AF153" i="2" s="1"/>
  <c r="Y153" i="2"/>
  <c r="T153" i="2"/>
  <c r="J153" i="2"/>
  <c r="K153" i="2" s="1"/>
  <c r="AA152" i="2"/>
  <c r="AB152" i="2" s="1"/>
  <c r="AC152" i="2" s="1"/>
  <c r="Z152" i="2"/>
  <c r="X152" i="2"/>
  <c r="F152" i="2"/>
  <c r="E152" i="2"/>
  <c r="AA144" i="2"/>
  <c r="Z144" i="2"/>
  <c r="AF144" i="2" s="1"/>
  <c r="X144" i="2"/>
  <c r="AA143" i="2"/>
  <c r="AF143" i="2" s="1"/>
  <c r="Z143" i="2"/>
  <c r="Y143" i="2"/>
  <c r="AA142" i="2"/>
  <c r="AB142" i="2" s="1"/>
  <c r="AC142" i="2" s="1"/>
  <c r="AD142" i="2" s="1"/>
  <c r="Z142" i="2"/>
  <c r="X142" i="2"/>
  <c r="AA141" i="2"/>
  <c r="Z141" i="2"/>
  <c r="AF141" i="2" s="1"/>
  <c r="Y141" i="2"/>
  <c r="AA140" i="2"/>
  <c r="AB140" i="2" s="1"/>
  <c r="AC140" i="2" s="1"/>
  <c r="Z140" i="2"/>
  <c r="X140" i="2"/>
  <c r="AA139" i="2"/>
  <c r="AB139" i="2" s="1"/>
  <c r="AC139" i="2" s="1"/>
  <c r="Z139" i="2"/>
  <c r="Y139" i="2"/>
  <c r="AA138" i="2"/>
  <c r="Z138" i="2"/>
  <c r="AF138" i="2" s="1"/>
  <c r="X138" i="2"/>
  <c r="P138" i="2"/>
  <c r="Q138" i="2" s="1"/>
  <c r="AA137" i="2"/>
  <c r="AB137" i="2" s="1"/>
  <c r="AC137" i="2" s="1"/>
  <c r="Z137" i="2"/>
  <c r="Y137" i="2"/>
  <c r="AA136" i="2"/>
  <c r="AB136" i="2" s="1"/>
  <c r="AC136" i="2" s="1"/>
  <c r="Z136" i="2"/>
  <c r="AF136" i="2" s="1"/>
  <c r="AG136" i="2" s="1"/>
  <c r="X136" i="2"/>
  <c r="AA135" i="2"/>
  <c r="Z135" i="2"/>
  <c r="AF135" i="2" s="1"/>
  <c r="Y135" i="2"/>
  <c r="AA134" i="2"/>
  <c r="Z134" i="2"/>
  <c r="X134" i="2"/>
  <c r="AA133" i="2"/>
  <c r="AB133" i="2" s="1"/>
  <c r="AC133" i="2" s="1"/>
  <c r="Z133" i="2"/>
  <c r="Y133" i="2"/>
  <c r="AA132" i="2"/>
  <c r="Z132" i="2"/>
  <c r="X132" i="2"/>
  <c r="T132" i="2"/>
  <c r="AA131" i="2"/>
  <c r="Z131" i="2"/>
  <c r="Y131" i="2"/>
  <c r="AA130" i="2"/>
  <c r="Z130" i="2"/>
  <c r="X130" i="2"/>
  <c r="AA129" i="2"/>
  <c r="Z129" i="2"/>
  <c r="Y129" i="2"/>
  <c r="AA128" i="2"/>
  <c r="Z128" i="2"/>
  <c r="X128" i="2"/>
  <c r="AA127" i="2"/>
  <c r="Z127" i="2"/>
  <c r="Y127" i="2"/>
  <c r="AA126" i="2"/>
  <c r="Z126" i="2"/>
  <c r="X126" i="2"/>
  <c r="AA125" i="2"/>
  <c r="AB125" i="2" s="1"/>
  <c r="AC125" i="2" s="1"/>
  <c r="Z125" i="2"/>
  <c r="Y125" i="2"/>
  <c r="F125" i="2"/>
  <c r="E125" i="2"/>
  <c r="AA124" i="2"/>
  <c r="Z124" i="2"/>
  <c r="AF124" i="2" s="1"/>
  <c r="X124" i="2"/>
  <c r="J124" i="2"/>
  <c r="K124" i="2" s="1"/>
  <c r="AA123" i="2"/>
  <c r="Z123" i="2"/>
  <c r="AF123" i="2" s="1"/>
  <c r="Y123" i="2"/>
  <c r="AA122" i="2"/>
  <c r="Z122" i="2"/>
  <c r="X122" i="2"/>
  <c r="AA121" i="2"/>
  <c r="Z121" i="2"/>
  <c r="Y121" i="2"/>
  <c r="AA120" i="2"/>
  <c r="Z120" i="2"/>
  <c r="X120" i="2"/>
  <c r="AA119" i="2"/>
  <c r="Z119" i="2"/>
  <c r="Y119" i="2"/>
  <c r="AA118" i="2"/>
  <c r="Z118" i="2"/>
  <c r="X118" i="2"/>
  <c r="AA117" i="2"/>
  <c r="Z117" i="2"/>
  <c r="AF117" i="2" s="1"/>
  <c r="Y117" i="2"/>
  <c r="AA116" i="2"/>
  <c r="Z116" i="2"/>
  <c r="X116" i="2"/>
  <c r="AA115" i="2"/>
  <c r="Z115" i="2"/>
  <c r="AF115" i="2" s="1"/>
  <c r="Y115" i="2"/>
  <c r="AA114" i="2"/>
  <c r="Z114" i="2"/>
  <c r="X114" i="2"/>
  <c r="AA113" i="2"/>
  <c r="Z113" i="2"/>
  <c r="AF113" i="2" s="1"/>
  <c r="Y113" i="2"/>
  <c r="AA112" i="2"/>
  <c r="Z112" i="2"/>
  <c r="X112" i="2"/>
  <c r="AA111" i="2"/>
  <c r="Z111" i="2"/>
  <c r="AF111" i="2" s="1"/>
  <c r="Y111" i="2"/>
  <c r="AA110" i="2"/>
  <c r="Z110" i="2"/>
  <c r="X110" i="2"/>
  <c r="T110" i="2"/>
  <c r="AA109" i="2"/>
  <c r="Z109" i="2"/>
  <c r="Y109" i="2"/>
  <c r="AA108" i="2"/>
  <c r="Z108" i="2"/>
  <c r="X108" i="2"/>
  <c r="AA107" i="2"/>
  <c r="AB107" i="2" s="1"/>
  <c r="AC107" i="2" s="1"/>
  <c r="Z107" i="2"/>
  <c r="Y107" i="2"/>
  <c r="AA106" i="2"/>
  <c r="AB106" i="2" s="1"/>
  <c r="AC106" i="2" s="1"/>
  <c r="AD106" i="2" s="1"/>
  <c r="Z106" i="2"/>
  <c r="X106" i="2"/>
  <c r="AA105" i="2"/>
  <c r="Z105" i="2"/>
  <c r="AF105" i="2" s="1"/>
  <c r="Y105" i="2"/>
  <c r="AA104" i="2"/>
  <c r="Z104" i="2"/>
  <c r="X104" i="2"/>
  <c r="AA103" i="2"/>
  <c r="Z103" i="2"/>
  <c r="Y103" i="2"/>
  <c r="AA102" i="2"/>
  <c r="AF102" i="2" s="1"/>
  <c r="Z102" i="2"/>
  <c r="X102" i="2"/>
  <c r="AA101" i="2"/>
  <c r="Z101" i="2"/>
  <c r="Y101" i="2"/>
  <c r="AA100" i="2"/>
  <c r="AF100" i="2" s="1"/>
  <c r="Z100" i="2"/>
  <c r="X100" i="2"/>
  <c r="AA99" i="2"/>
  <c r="AB99" i="2" s="1"/>
  <c r="AC99" i="2" s="1"/>
  <c r="Z99" i="2"/>
  <c r="AF99" i="2" s="1"/>
  <c r="Y99" i="2"/>
  <c r="AA98" i="2"/>
  <c r="Z98" i="2"/>
  <c r="X98" i="2"/>
  <c r="AA97" i="2"/>
  <c r="AB97" i="2" s="1"/>
  <c r="AC97" i="2" s="1"/>
  <c r="Z97" i="2"/>
  <c r="Y97" i="2"/>
  <c r="AA96" i="2"/>
  <c r="AB96" i="2" s="1"/>
  <c r="AC96" i="2" s="1"/>
  <c r="Z96" i="2"/>
  <c r="X96" i="2"/>
  <c r="AA95" i="2"/>
  <c r="Z95" i="2"/>
  <c r="Y95" i="2"/>
  <c r="F95" i="2"/>
  <c r="E95" i="2"/>
  <c r="AA94" i="2"/>
  <c r="Z94" i="2"/>
  <c r="X94" i="2"/>
  <c r="J94" i="2"/>
  <c r="K94" i="2" s="1"/>
  <c r="AA93" i="2"/>
  <c r="Z93" i="2"/>
  <c r="Y93" i="2"/>
  <c r="AA92" i="2"/>
  <c r="Z92" i="2"/>
  <c r="AF92" i="2" s="1"/>
  <c r="X92" i="2"/>
  <c r="AA91" i="2"/>
  <c r="AB91" i="2" s="1"/>
  <c r="AC91" i="2" s="1"/>
  <c r="Z91" i="2"/>
  <c r="Y91" i="2"/>
  <c r="AA90" i="2"/>
  <c r="AF90" i="2" s="1"/>
  <c r="Z90" i="2"/>
  <c r="X90" i="2"/>
  <c r="AA89" i="2"/>
  <c r="Z89" i="2"/>
  <c r="AF89" i="2" s="1"/>
  <c r="Y89" i="2"/>
  <c r="AA88" i="2"/>
  <c r="AB88" i="2" s="1"/>
  <c r="AC88" i="2" s="1"/>
  <c r="AD88" i="2" s="1"/>
  <c r="Z88" i="2"/>
  <c r="X88" i="2"/>
  <c r="AA87" i="2"/>
  <c r="Z87" i="2"/>
  <c r="Y87" i="2"/>
  <c r="AA86" i="2"/>
  <c r="AB86" i="2" s="1"/>
  <c r="AC86" i="2" s="1"/>
  <c r="AD86" i="2" s="1"/>
  <c r="Z86" i="2"/>
  <c r="X86" i="2"/>
  <c r="AA85" i="2"/>
  <c r="Z85" i="2"/>
  <c r="Y85" i="2"/>
  <c r="T85" i="2"/>
  <c r="AA84" i="2"/>
  <c r="Z84" i="2"/>
  <c r="X84" i="2"/>
  <c r="AB83" i="2"/>
  <c r="AC83" i="2" s="1"/>
  <c r="AA83" i="2"/>
  <c r="Z83" i="2"/>
  <c r="AF83" i="2" s="1"/>
  <c r="Y83" i="2"/>
  <c r="AA82" i="2"/>
  <c r="Z82" i="2"/>
  <c r="X82" i="2"/>
  <c r="AA81" i="2"/>
  <c r="Z81" i="2"/>
  <c r="AF81" i="2" s="1"/>
  <c r="Y81" i="2"/>
  <c r="AA80" i="2"/>
  <c r="Z80" i="2"/>
  <c r="X80" i="2"/>
  <c r="AA79" i="2"/>
  <c r="Z79" i="2"/>
  <c r="Y79" i="2"/>
  <c r="AA78" i="2"/>
  <c r="Z78" i="2"/>
  <c r="X78" i="2"/>
  <c r="AA77" i="2"/>
  <c r="Z77" i="2"/>
  <c r="Y77" i="2"/>
  <c r="AA76" i="2"/>
  <c r="AB76" i="2" s="1"/>
  <c r="AC76" i="2" s="1"/>
  <c r="Z76" i="2"/>
  <c r="X76" i="2"/>
  <c r="F76" i="2"/>
  <c r="E76" i="2"/>
  <c r="AA75" i="2"/>
  <c r="Z75" i="2"/>
  <c r="AF75" i="2" s="1"/>
  <c r="Y75" i="2"/>
  <c r="J75" i="2"/>
  <c r="K75" i="2" s="1"/>
  <c r="AA74" i="2"/>
  <c r="AB74" i="2" s="1"/>
  <c r="AC74" i="2" s="1"/>
  <c r="Z74" i="2"/>
  <c r="X74" i="2"/>
  <c r="AA73" i="2"/>
  <c r="AB73" i="2" s="1"/>
  <c r="AC73" i="2" s="1"/>
  <c r="Z73" i="2"/>
  <c r="Y73" i="2"/>
  <c r="AA72" i="2"/>
  <c r="AB72" i="2" s="1"/>
  <c r="AC72" i="2" s="1"/>
  <c r="Z72" i="2"/>
  <c r="AF72" i="2" s="1"/>
  <c r="X72" i="2"/>
  <c r="AA71" i="2"/>
  <c r="Z71" i="2"/>
  <c r="AF71" i="2" s="1"/>
  <c r="Y71" i="2"/>
  <c r="AB70" i="2"/>
  <c r="AC70" i="2" s="1"/>
  <c r="AA70" i="2"/>
  <c r="Z70" i="2"/>
  <c r="AF70" i="2" s="1"/>
  <c r="X70" i="2"/>
  <c r="AA69" i="2"/>
  <c r="Z69" i="2"/>
  <c r="Y69" i="2"/>
  <c r="AA68" i="2"/>
  <c r="Z68" i="2"/>
  <c r="AF68" i="2" s="1"/>
  <c r="X68" i="2"/>
  <c r="AA67" i="2"/>
  <c r="Z67" i="2"/>
  <c r="Y67" i="2"/>
  <c r="T67" i="2"/>
  <c r="AA66" i="2"/>
  <c r="Z66" i="2"/>
  <c r="X66" i="2"/>
  <c r="AA65" i="2"/>
  <c r="Z65" i="2"/>
  <c r="AF65" i="2" s="1"/>
  <c r="Y65" i="2"/>
  <c r="AA64" i="2"/>
  <c r="Z64" i="2"/>
  <c r="X64" i="2"/>
  <c r="AA63" i="2"/>
  <c r="AB63" i="2" s="1"/>
  <c r="AC63" i="2" s="1"/>
  <c r="Z63" i="2"/>
  <c r="Y63" i="2"/>
  <c r="AA62" i="2"/>
  <c r="Z62" i="2"/>
  <c r="AF62" i="2" s="1"/>
  <c r="X62" i="2"/>
  <c r="AA61" i="2"/>
  <c r="Z61" i="2"/>
  <c r="Y61" i="2"/>
  <c r="AA60" i="2"/>
  <c r="Z60" i="2"/>
  <c r="X60" i="2"/>
  <c r="F60" i="2"/>
  <c r="E60" i="2"/>
  <c r="AA59" i="2"/>
  <c r="Z59" i="2"/>
  <c r="Y59" i="2"/>
  <c r="K59" i="2"/>
  <c r="J59" i="2"/>
  <c r="AA58" i="2"/>
  <c r="AB58" i="2" s="1"/>
  <c r="AC58" i="2" s="1"/>
  <c r="AD58" i="2" s="1"/>
  <c r="Z58" i="2"/>
  <c r="X58" i="2"/>
  <c r="AA57" i="2"/>
  <c r="Z57" i="2"/>
  <c r="AF57" i="2" s="1"/>
  <c r="Y57" i="2"/>
  <c r="AA56" i="2"/>
  <c r="Z56" i="2"/>
  <c r="X56" i="2"/>
  <c r="AA55" i="2"/>
  <c r="Z55" i="2"/>
  <c r="AF55" i="2" s="1"/>
  <c r="Y55" i="2"/>
  <c r="T55" i="2"/>
  <c r="AA54" i="2"/>
  <c r="Z54" i="2"/>
  <c r="AF54" i="2" s="1"/>
  <c r="X54" i="2"/>
  <c r="AA53" i="2"/>
  <c r="Z53" i="2"/>
  <c r="Y53" i="2"/>
  <c r="AA52" i="2"/>
  <c r="Z52" i="2"/>
  <c r="AF52" i="2" s="1"/>
  <c r="X52" i="2"/>
  <c r="F52" i="2"/>
  <c r="E52" i="2"/>
  <c r="AA51" i="2"/>
  <c r="AB51" i="2" s="1"/>
  <c r="AC51" i="2" s="1"/>
  <c r="Z51" i="2"/>
  <c r="Y51" i="2"/>
  <c r="J51" i="2"/>
  <c r="K51" i="2" s="1"/>
  <c r="AA50" i="2"/>
  <c r="Z50" i="2"/>
  <c r="X50" i="2"/>
  <c r="AA49" i="2"/>
  <c r="Z49" i="2"/>
  <c r="AF49" i="2" s="1"/>
  <c r="Y49" i="2"/>
  <c r="AA48" i="2"/>
  <c r="AB48" i="2" s="1"/>
  <c r="AC48" i="2" s="1"/>
  <c r="Z48" i="2"/>
  <c r="X48" i="2"/>
  <c r="AA47" i="2"/>
  <c r="Z47" i="2"/>
  <c r="AF47" i="2" s="1"/>
  <c r="Y47" i="2"/>
  <c r="T47" i="2"/>
  <c r="AA46" i="2"/>
  <c r="Z46" i="2"/>
  <c r="X46" i="2"/>
  <c r="AA45" i="2"/>
  <c r="AB45" i="2" s="1"/>
  <c r="AC45" i="2" s="1"/>
  <c r="AD45" i="2" s="1"/>
  <c r="Z45" i="2"/>
  <c r="Y45" i="2"/>
  <c r="F45" i="2"/>
  <c r="E45" i="2"/>
  <c r="AA44" i="2"/>
  <c r="Z44" i="2"/>
  <c r="AF44" i="2" s="1"/>
  <c r="X44" i="2"/>
  <c r="J44" i="2"/>
  <c r="K44" i="2" s="1"/>
  <c r="AA43" i="2"/>
  <c r="Z43" i="2"/>
  <c r="Y43" i="2"/>
  <c r="AA42" i="2"/>
  <c r="Z42" i="2"/>
  <c r="X42" i="2"/>
  <c r="AA41" i="2"/>
  <c r="Z41" i="2"/>
  <c r="Y41" i="2"/>
  <c r="AA40" i="2"/>
  <c r="Z40" i="2"/>
  <c r="X40" i="2"/>
  <c r="AA39" i="2"/>
  <c r="Z39" i="2"/>
  <c r="Y39" i="2"/>
  <c r="T39" i="2"/>
  <c r="AA38" i="2"/>
  <c r="Z38" i="2"/>
  <c r="X38" i="2"/>
  <c r="AA37" i="2"/>
  <c r="Z37" i="2"/>
  <c r="Y37" i="2"/>
  <c r="AA36" i="2"/>
  <c r="Z36" i="2"/>
  <c r="AB36" i="2" s="1"/>
  <c r="AC36" i="2" s="1"/>
  <c r="AD36" i="2" s="1"/>
  <c r="X36" i="2"/>
  <c r="AA35" i="2"/>
  <c r="Z35" i="2"/>
  <c r="Y35" i="2"/>
  <c r="AA34" i="2"/>
  <c r="Z34" i="2"/>
  <c r="AF34" i="2" s="1"/>
  <c r="X34" i="2"/>
  <c r="F34" i="2"/>
  <c r="E34" i="2"/>
  <c r="AB33" i="2"/>
  <c r="AC33" i="2" s="1"/>
  <c r="AD33" i="2" s="1"/>
  <c r="AA33" i="2"/>
  <c r="Z33" i="2"/>
  <c r="AF33" i="2" s="1"/>
  <c r="Y33" i="2"/>
  <c r="K33" i="2"/>
  <c r="J33" i="2"/>
  <c r="AA32" i="2"/>
  <c r="Z32" i="2"/>
  <c r="X32" i="2"/>
  <c r="AA31" i="2"/>
  <c r="Z31" i="2"/>
  <c r="Y31" i="2"/>
  <c r="AA30" i="2"/>
  <c r="Z30" i="2"/>
  <c r="X30" i="2"/>
  <c r="AA29" i="2"/>
  <c r="Z29" i="2"/>
  <c r="AB29" i="2" s="1"/>
  <c r="AC29" i="2" s="1"/>
  <c r="Y29" i="2"/>
  <c r="AA28" i="2"/>
  <c r="AB28" i="2" s="1"/>
  <c r="AC28" i="2" s="1"/>
  <c r="AD28" i="2" s="1"/>
  <c r="Z28" i="2"/>
  <c r="X28" i="2"/>
  <c r="AA27" i="2"/>
  <c r="Z27" i="2"/>
  <c r="AB27" i="2" s="1"/>
  <c r="AC27" i="2" s="1"/>
  <c r="Y27" i="2"/>
  <c r="AA26" i="2"/>
  <c r="Z26" i="2"/>
  <c r="X26" i="2"/>
  <c r="AA25" i="2"/>
  <c r="Z25" i="2"/>
  <c r="AB25" i="2" s="1"/>
  <c r="AC25" i="2" s="1"/>
  <c r="Y25" i="2"/>
  <c r="AA24" i="2"/>
  <c r="Z24" i="2"/>
  <c r="X24" i="2"/>
  <c r="T24" i="2"/>
  <c r="AA23" i="2"/>
  <c r="Z23" i="2"/>
  <c r="AB23" i="2" s="1"/>
  <c r="AC23" i="2" s="1"/>
  <c r="Y23" i="2"/>
  <c r="AA22" i="2"/>
  <c r="Z22" i="2"/>
  <c r="X22" i="2"/>
  <c r="AA21" i="2"/>
  <c r="Z21" i="2"/>
  <c r="AF21" i="2" s="1"/>
  <c r="Y21" i="2"/>
  <c r="AA20" i="2"/>
  <c r="AB20" i="2" s="1"/>
  <c r="AC20" i="2" s="1"/>
  <c r="AD20" i="2" s="1"/>
  <c r="Z20" i="2"/>
  <c r="X20" i="2"/>
  <c r="AA19" i="2"/>
  <c r="Z19" i="2"/>
  <c r="Y19" i="2"/>
  <c r="F19" i="2"/>
  <c r="E19" i="2"/>
  <c r="AD18" i="2"/>
  <c r="AA18" i="2"/>
  <c r="Z18" i="2"/>
  <c r="AB18" i="2" s="1"/>
  <c r="AC18" i="2" s="1"/>
  <c r="X18" i="2"/>
  <c r="K18" i="2"/>
  <c r="J18" i="2"/>
  <c r="AF17" i="2"/>
  <c r="AB17" i="2"/>
  <c r="AC17" i="2" s="1"/>
  <c r="AD17" i="2" s="1"/>
  <c r="AA17" i="2"/>
  <c r="Z17" i="2"/>
  <c r="Y17" i="2"/>
  <c r="AA16" i="2"/>
  <c r="Z16" i="2"/>
  <c r="X16" i="2"/>
  <c r="AA15" i="2"/>
  <c r="Z15" i="2"/>
  <c r="AB15" i="2" s="1"/>
  <c r="AC15" i="2" s="1"/>
  <c r="Y15" i="2"/>
  <c r="AA14" i="2"/>
  <c r="Z14" i="2"/>
  <c r="X14" i="2"/>
  <c r="AA13" i="2"/>
  <c r="Z13" i="2"/>
  <c r="Y13" i="2"/>
  <c r="AA12" i="2"/>
  <c r="Z12" i="2"/>
  <c r="X12" i="2"/>
  <c r="AA11" i="2"/>
  <c r="Z11" i="2"/>
  <c r="Y11" i="2"/>
  <c r="T11" i="2"/>
  <c r="J11" i="2"/>
  <c r="K11" i="2" s="1"/>
  <c r="AA10" i="2"/>
  <c r="Z10" i="2"/>
  <c r="AF10" i="2" s="1"/>
  <c r="X10" i="2"/>
  <c r="F10" i="2"/>
  <c r="E10" i="2"/>
  <c r="AT6" i="2"/>
  <c r="AT5" i="2"/>
  <c r="G5" i="2"/>
  <c r="U24" i="2" s="1"/>
  <c r="E5" i="2"/>
  <c r="C5" i="2"/>
  <c r="U11" i="2" l="1"/>
  <c r="AF16" i="2"/>
  <c r="AF26" i="2"/>
  <c r="AF37" i="2"/>
  <c r="AB39" i="2"/>
  <c r="AC39" i="2" s="1"/>
  <c r="AB44" i="2"/>
  <c r="AC44" i="2" s="1"/>
  <c r="AD44" i="2" s="1"/>
  <c r="AB71" i="2"/>
  <c r="AC71" i="2" s="1"/>
  <c r="AG71" i="2" s="1"/>
  <c r="AF77" i="2"/>
  <c r="AB94" i="2"/>
  <c r="AC94" i="2" s="1"/>
  <c r="AF98" i="2"/>
  <c r="AF106" i="2"/>
  <c r="AG106" i="2" s="1"/>
  <c r="AF108" i="2"/>
  <c r="AF116" i="2"/>
  <c r="AB128" i="2"/>
  <c r="AC128" i="2" s="1"/>
  <c r="AE128" i="2" s="1"/>
  <c r="AF157" i="2"/>
  <c r="AG157" i="2" s="1"/>
  <c r="AB163" i="2"/>
  <c r="AC163" i="2" s="1"/>
  <c r="AB19" i="2"/>
  <c r="AC19" i="2" s="1"/>
  <c r="AF22" i="2"/>
  <c r="AF32" i="2"/>
  <c r="AF35" i="2"/>
  <c r="AF40" i="2"/>
  <c r="AB49" i="2"/>
  <c r="AC49" i="2" s="1"/>
  <c r="AG49" i="2" s="1"/>
  <c r="AF67" i="2"/>
  <c r="AF74" i="2"/>
  <c r="AB85" i="2"/>
  <c r="AC85" i="2" s="1"/>
  <c r="AF114" i="2"/>
  <c r="AB124" i="2"/>
  <c r="AC124" i="2" s="1"/>
  <c r="AG124" i="2" s="1"/>
  <c r="AH124" i="2" s="1"/>
  <c r="AJ124" i="2" s="1"/>
  <c r="AB126" i="2"/>
  <c r="AC126" i="2" s="1"/>
  <c r="AB131" i="2"/>
  <c r="AC131" i="2" s="1"/>
  <c r="AG131" i="2" s="1"/>
  <c r="AF142" i="2"/>
  <c r="AF155" i="2"/>
  <c r="U47" i="2"/>
  <c r="AB12" i="2"/>
  <c r="AC12" i="2" s="1"/>
  <c r="AF30" i="2"/>
  <c r="AB43" i="2"/>
  <c r="AC43" i="2" s="1"/>
  <c r="AD43" i="2" s="1"/>
  <c r="AF45" i="2"/>
  <c r="AG45" i="2" s="1"/>
  <c r="AB47" i="2"/>
  <c r="AC47" i="2" s="1"/>
  <c r="AD47" i="2" s="1"/>
  <c r="AF50" i="2"/>
  <c r="AB54" i="2"/>
  <c r="AC54" i="2" s="1"/>
  <c r="AG54" i="2" s="1"/>
  <c r="AH54" i="2" s="1"/>
  <c r="AJ54" i="2" s="1"/>
  <c r="AF63" i="2"/>
  <c r="AB65" i="2"/>
  <c r="AC65" i="2" s="1"/>
  <c r="AF86" i="2"/>
  <c r="AB93" i="2"/>
  <c r="AC93" i="2" s="1"/>
  <c r="AF107" i="2"/>
  <c r="AG107" i="2" s="1"/>
  <c r="AF112" i="2"/>
  <c r="AF120" i="2"/>
  <c r="AF127" i="2"/>
  <c r="AB158" i="2"/>
  <c r="AC158" i="2" s="1"/>
  <c r="AF28" i="2"/>
  <c r="AB34" i="2"/>
  <c r="AC34" i="2" s="1"/>
  <c r="AD34" i="2" s="1"/>
  <c r="AB41" i="2"/>
  <c r="AC41" i="2" s="1"/>
  <c r="AD41" i="2" s="1"/>
  <c r="AE41" i="2" s="1"/>
  <c r="AB52" i="2"/>
  <c r="AC52" i="2" s="1"/>
  <c r="AF59" i="2"/>
  <c r="AB61" i="2"/>
  <c r="AC61" i="2" s="1"/>
  <c r="AF66" i="2"/>
  <c r="AF73" i="2"/>
  <c r="AB79" i="2"/>
  <c r="AC79" i="2" s="1"/>
  <c r="AB105" i="2"/>
  <c r="AC105" i="2" s="1"/>
  <c r="AG105" i="2" s="1"/>
  <c r="AH105" i="2" s="1"/>
  <c r="AJ105" i="2" s="1"/>
  <c r="AF132" i="2"/>
  <c r="AF137" i="2"/>
  <c r="AF154" i="2"/>
  <c r="AB156" i="2"/>
  <c r="AC156" i="2" s="1"/>
  <c r="AF159" i="2"/>
  <c r="AG155" i="2"/>
  <c r="AD97" i="2"/>
  <c r="AE97" i="2" s="1"/>
  <c r="AD124" i="2"/>
  <c r="AE124" i="2" s="1"/>
  <c r="L11" i="2"/>
  <c r="AD54" i="2"/>
  <c r="AE54" i="2" s="1"/>
  <c r="AG154" i="2"/>
  <c r="AH154" i="2" s="1"/>
  <c r="AJ154" i="2" s="1"/>
  <c r="AG159" i="2"/>
  <c r="AB143" i="2"/>
  <c r="AC143" i="2" s="1"/>
  <c r="AG143" i="2" s="1"/>
  <c r="AG161" i="2"/>
  <c r="AG63" i="2"/>
  <c r="AH63" i="2" s="1"/>
  <c r="AJ63" i="2" s="1"/>
  <c r="AF140" i="2"/>
  <c r="AG140" i="2" s="1"/>
  <c r="AB87" i="2"/>
  <c r="AC87" i="2" s="1"/>
  <c r="AD87" i="2" s="1"/>
  <c r="AE87" i="2" s="1"/>
  <c r="AF97" i="2"/>
  <c r="AG97" i="2" s="1"/>
  <c r="AH97" i="2" s="1"/>
  <c r="AJ97" i="2" s="1"/>
  <c r="AG164" i="2"/>
  <c r="AH164" i="2" s="1"/>
  <c r="AJ164" i="2" s="1"/>
  <c r="AB50" i="2"/>
  <c r="AC50" i="2" s="1"/>
  <c r="AD50" i="2" s="1"/>
  <c r="AB56" i="2"/>
  <c r="AC56" i="2" s="1"/>
  <c r="AF41" i="2"/>
  <c r="AB92" i="2"/>
  <c r="AC92" i="2" s="1"/>
  <c r="AD92" i="2" s="1"/>
  <c r="AF118" i="2"/>
  <c r="AB130" i="2"/>
  <c r="AC130" i="2" s="1"/>
  <c r="AB134" i="2"/>
  <c r="AC134" i="2" s="1"/>
  <c r="AG153" i="2"/>
  <c r="AH153" i="2" s="1"/>
  <c r="AJ153" i="2" s="1"/>
  <c r="AB169" i="2"/>
  <c r="AC169" i="2" s="1"/>
  <c r="AD169" i="2" s="1"/>
  <c r="AF20" i="2"/>
  <c r="AB100" i="2"/>
  <c r="AC100" i="2" s="1"/>
  <c r="AG100" i="2" s="1"/>
  <c r="AH100" i="2" s="1"/>
  <c r="AJ100" i="2" s="1"/>
  <c r="AB77" i="2"/>
  <c r="AC77" i="2" s="1"/>
  <c r="AD77" i="2" s="1"/>
  <c r="AE77" i="2" s="1"/>
  <c r="AB98" i="2"/>
  <c r="AC98" i="2" s="1"/>
  <c r="AB108" i="2"/>
  <c r="AC108" i="2" s="1"/>
  <c r="AG108" i="2" s="1"/>
  <c r="AH108" i="2" s="1"/>
  <c r="AJ108" i="2" s="1"/>
  <c r="AB11" i="2"/>
  <c r="AC11" i="2" s="1"/>
  <c r="AF64" i="2"/>
  <c r="AF93" i="2"/>
  <c r="AG93" i="2" s="1"/>
  <c r="AH93" i="2" s="1"/>
  <c r="AJ93" i="2" s="1"/>
  <c r="AF119" i="2"/>
  <c r="AF131" i="2"/>
  <c r="AB26" i="2"/>
  <c r="AC26" i="2" s="1"/>
  <c r="AD26" i="2" s="1"/>
  <c r="AB68" i="2"/>
  <c r="AC68" i="2" s="1"/>
  <c r="AG68" i="2" s="1"/>
  <c r="AH68" i="2" s="1"/>
  <c r="AJ68" i="2" s="1"/>
  <c r="AB81" i="2"/>
  <c r="AC81" i="2" s="1"/>
  <c r="AG81" i="2" s="1"/>
  <c r="AB135" i="2"/>
  <c r="AC135" i="2" s="1"/>
  <c r="AB138" i="2"/>
  <c r="AC138" i="2" s="1"/>
  <c r="AG138" i="2" s="1"/>
  <c r="AB144" i="2"/>
  <c r="AC144" i="2" s="1"/>
  <c r="AG144" i="2" s="1"/>
  <c r="AB59" i="2"/>
  <c r="AC59" i="2" s="1"/>
  <c r="AD59" i="2" s="1"/>
  <c r="AE59" i="2" s="1"/>
  <c r="AB57" i="2"/>
  <c r="AC57" i="2" s="1"/>
  <c r="AG57" i="2" s="1"/>
  <c r="AH57" i="2" s="1"/>
  <c r="AJ57" i="2" s="1"/>
  <c r="AF88" i="2"/>
  <c r="AG88" i="2" s="1"/>
  <c r="AB16" i="2"/>
  <c r="AC16" i="2" s="1"/>
  <c r="AB22" i="2"/>
  <c r="AC22" i="2" s="1"/>
  <c r="AD22" i="2" s="1"/>
  <c r="AE22" i="2" s="1"/>
  <c r="AF19" i="2"/>
  <c r="AG19" i="2" s="1"/>
  <c r="AH19" i="2" s="1"/>
  <c r="AJ19" i="2" s="1"/>
  <c r="AB31" i="2"/>
  <c r="AC31" i="2" s="1"/>
  <c r="AD31" i="2" s="1"/>
  <c r="AB38" i="2"/>
  <c r="AC38" i="2" s="1"/>
  <c r="AF58" i="2"/>
  <c r="AF60" i="2"/>
  <c r="AF85" i="2"/>
  <c r="AG85" i="2" s="1"/>
  <c r="AB89" i="2"/>
  <c r="AC89" i="2" s="1"/>
  <c r="AF96" i="2"/>
  <c r="AG96" i="2" s="1"/>
  <c r="AB127" i="2"/>
  <c r="AC127" i="2" s="1"/>
  <c r="AF79" i="2"/>
  <c r="AF48" i="2"/>
  <c r="AG48" i="2" s="1"/>
  <c r="AF103" i="2"/>
  <c r="AE106" i="2"/>
  <c r="AF27" i="2"/>
  <c r="AG27" i="2" s="1"/>
  <c r="AH27" i="2" s="1"/>
  <c r="AJ27" i="2" s="1"/>
  <c r="AF31" i="2"/>
  <c r="AB90" i="2"/>
  <c r="AC90" i="2" s="1"/>
  <c r="AF94" i="2"/>
  <c r="AG94" i="2" s="1"/>
  <c r="AB103" i="2"/>
  <c r="AC103" i="2" s="1"/>
  <c r="AD103" i="2" s="1"/>
  <c r="AE103" i="2" s="1"/>
  <c r="AF110" i="2"/>
  <c r="AF139" i="2"/>
  <c r="AG139" i="2" s="1"/>
  <c r="AB13" i="2"/>
  <c r="AC13" i="2" s="1"/>
  <c r="AD13" i="2" s="1"/>
  <c r="AE13" i="2" s="1"/>
  <c r="AF121" i="2"/>
  <c r="AF152" i="2"/>
  <c r="AG152" i="2" s="1"/>
  <c r="AF167" i="2"/>
  <c r="AG90" i="2"/>
  <c r="AB55" i="2"/>
  <c r="AC55" i="2" s="1"/>
  <c r="AB66" i="2"/>
  <c r="AC66" i="2" s="1"/>
  <c r="AD66" i="2" s="1"/>
  <c r="AG142" i="2"/>
  <c r="AB46" i="2"/>
  <c r="AC46" i="2" s="1"/>
  <c r="AD46" i="2" s="1"/>
  <c r="AG73" i="2"/>
  <c r="AH73" i="2" s="1"/>
  <c r="AJ73" i="2" s="1"/>
  <c r="AD94" i="2"/>
  <c r="AE94" i="2" s="1"/>
  <c r="AB104" i="2"/>
  <c r="AC104" i="2" s="1"/>
  <c r="AB10" i="2"/>
  <c r="AC10" i="2" s="1"/>
  <c r="AD10" i="2" s="1"/>
  <c r="AB14" i="2"/>
  <c r="AC14" i="2" s="1"/>
  <c r="AD14" i="2" s="1"/>
  <c r="AE14" i="2" s="1"/>
  <c r="AF24" i="2"/>
  <c r="AB62" i="2"/>
  <c r="AC62" i="2" s="1"/>
  <c r="AF76" i="2"/>
  <c r="AF122" i="2"/>
  <c r="AF125" i="2"/>
  <c r="AF133" i="2"/>
  <c r="AG133" i="2" s="1"/>
  <c r="AF168" i="2"/>
  <c r="AD15" i="2"/>
  <c r="AE15" i="2" s="1"/>
  <c r="AD23" i="2"/>
  <c r="AE23" i="2" s="1"/>
  <c r="AD56" i="2"/>
  <c r="AE56" i="2" s="1"/>
  <c r="AD12" i="2"/>
  <c r="AE12" i="2" s="1"/>
  <c r="AD48" i="2"/>
  <c r="AE48" i="2" s="1"/>
  <c r="AD74" i="2"/>
  <c r="AE74" i="2" s="1"/>
  <c r="L153" i="2"/>
  <c r="R169" i="2"/>
  <c r="R138" i="2"/>
  <c r="AF11" i="2"/>
  <c r="AF12" i="2"/>
  <c r="AG12" i="2" s="1"/>
  <c r="AF13" i="2"/>
  <c r="AG13" i="2" s="1"/>
  <c r="AF14" i="2"/>
  <c r="AF15" i="2"/>
  <c r="AG15" i="2" s="1"/>
  <c r="AE45" i="2"/>
  <c r="AE58" i="2"/>
  <c r="AG74" i="2"/>
  <c r="AD89" i="2"/>
  <c r="AE89" i="2" s="1"/>
  <c r="AD91" i="2"/>
  <c r="AE91" i="2" s="1"/>
  <c r="AE47" i="2"/>
  <c r="AD51" i="2"/>
  <c r="AE51" i="2" s="1"/>
  <c r="AD73" i="2"/>
  <c r="AE73" i="2" s="1"/>
  <c r="AB30" i="2"/>
  <c r="AC30" i="2" s="1"/>
  <c r="AG33" i="2"/>
  <c r="AG47" i="2"/>
  <c r="AF23" i="2"/>
  <c r="AG23" i="2" s="1"/>
  <c r="AB24" i="2"/>
  <c r="AC24" i="2" s="1"/>
  <c r="AF25" i="2"/>
  <c r="AG25" i="2" s="1"/>
  <c r="AG28" i="2"/>
  <c r="AD38" i="2"/>
  <c r="AE38" i="2" s="1"/>
  <c r="AB42" i="2"/>
  <c r="AC42" i="2" s="1"/>
  <c r="AF42" i="2"/>
  <c r="AD52" i="2"/>
  <c r="AE52" i="2" s="1"/>
  <c r="AD61" i="2"/>
  <c r="AE61" i="2" s="1"/>
  <c r="AD63" i="2"/>
  <c r="AE63" i="2" s="1"/>
  <c r="AD65" i="2"/>
  <c r="AE65" i="2" s="1"/>
  <c r="AD135" i="2"/>
  <c r="AE135" i="2"/>
  <c r="AD39" i="2"/>
  <c r="AE39" i="2" s="1"/>
  <c r="AE10" i="2"/>
  <c r="AE18" i="2"/>
  <c r="AB21" i="2"/>
  <c r="AC21" i="2" s="1"/>
  <c r="AD29" i="2"/>
  <c r="AE29" i="2" s="1"/>
  <c r="AE36" i="2"/>
  <c r="AB37" i="2"/>
  <c r="AC37" i="2" s="1"/>
  <c r="AG37" i="2" s="1"/>
  <c r="AF38" i="2"/>
  <c r="AG52" i="2"/>
  <c r="AD57" i="2"/>
  <c r="AE57" i="2" s="1"/>
  <c r="AG76" i="2"/>
  <c r="AE33" i="2"/>
  <c r="AD25" i="2"/>
  <c r="AE25" i="2" s="1"/>
  <c r="AE17" i="2"/>
  <c r="AE20" i="2"/>
  <c r="AE28" i="2"/>
  <c r="AF29" i="2"/>
  <c r="AG29" i="2" s="1"/>
  <c r="AD49" i="2"/>
  <c r="AE49" i="2" s="1"/>
  <c r="AF69" i="2"/>
  <c r="AB69" i="2"/>
  <c r="AC69" i="2" s="1"/>
  <c r="AD72" i="2"/>
  <c r="AE72" i="2" s="1"/>
  <c r="AG26" i="2"/>
  <c r="AH88" i="2"/>
  <c r="AJ88" i="2" s="1"/>
  <c r="AD99" i="2"/>
  <c r="AE99" i="2" s="1"/>
  <c r="AF101" i="2"/>
  <c r="AG101" i="2" s="1"/>
  <c r="AB101" i="2"/>
  <c r="AC101" i="2" s="1"/>
  <c r="AD16" i="2"/>
  <c r="AE16" i="2" s="1"/>
  <c r="AD19" i="2"/>
  <c r="AE19" i="2" s="1"/>
  <c r="AD62" i="2"/>
  <c r="AE62" i="2" s="1"/>
  <c r="AE76" i="2"/>
  <c r="AD76" i="2"/>
  <c r="D188" i="2"/>
  <c r="X146" i="2"/>
  <c r="AG16" i="2"/>
  <c r="AG17" i="2"/>
  <c r="AF18" i="2"/>
  <c r="AG18" i="2" s="1"/>
  <c r="AG20" i="2"/>
  <c r="AD27" i="2"/>
  <c r="AE27" i="2" s="1"/>
  <c r="AB32" i="2"/>
  <c r="AC32" i="2" s="1"/>
  <c r="AB35" i="2"/>
  <c r="AC35" i="2" s="1"/>
  <c r="AF36" i="2"/>
  <c r="AG36" i="2" s="1"/>
  <c r="AF53" i="2"/>
  <c r="AG53" i="2" s="1"/>
  <c r="AB53" i="2"/>
  <c r="AC53" i="2" s="1"/>
  <c r="AG60" i="2"/>
  <c r="AG62" i="2"/>
  <c r="U166" i="2"/>
  <c r="U153" i="2"/>
  <c r="U110" i="2"/>
  <c r="U67" i="2"/>
  <c r="U132" i="2"/>
  <c r="U85" i="2"/>
  <c r="U39" i="2"/>
  <c r="AF43" i="2"/>
  <c r="AB60" i="2"/>
  <c r="AC60" i="2" s="1"/>
  <c r="AF95" i="2"/>
  <c r="AB95" i="2"/>
  <c r="AC95" i="2" s="1"/>
  <c r="AH106" i="2"/>
  <c r="AJ106" i="2" s="1"/>
  <c r="AI106" i="2"/>
  <c r="AG135" i="2"/>
  <c r="AD156" i="2"/>
  <c r="AE156" i="2" s="1"/>
  <c r="AD165" i="2"/>
  <c r="AE165" i="2" s="1"/>
  <c r="AG72" i="2"/>
  <c r="AB78" i="2"/>
  <c r="AC78" i="2" s="1"/>
  <c r="AF78" i="2"/>
  <c r="AB82" i="2"/>
  <c r="AC82" i="2" s="1"/>
  <c r="AF82" i="2"/>
  <c r="AG89" i="2"/>
  <c r="AD137" i="2"/>
  <c r="AE137" i="2" s="1"/>
  <c r="AD144" i="2"/>
  <c r="AE144" i="2" s="1"/>
  <c r="AB40" i="2"/>
  <c r="AC40" i="2" s="1"/>
  <c r="U55" i="2"/>
  <c r="AD70" i="2"/>
  <c r="AE70" i="2" s="1"/>
  <c r="AD79" i="2"/>
  <c r="AE79" i="2" s="1"/>
  <c r="AD83" i="2"/>
  <c r="AE83" i="2" s="1"/>
  <c r="AH90" i="2"/>
  <c r="AJ90" i="2" s="1"/>
  <c r="AD104" i="2"/>
  <c r="AE104" i="2" s="1"/>
  <c r="AD108" i="2"/>
  <c r="AE108" i="2" s="1"/>
  <c r="AD128" i="2"/>
  <c r="AD130" i="2"/>
  <c r="AE130" i="2" s="1"/>
  <c r="AD134" i="2"/>
  <c r="AE134" i="2"/>
  <c r="AD140" i="2"/>
  <c r="AE140" i="2" s="1"/>
  <c r="AG58" i="2"/>
  <c r="AG65" i="2"/>
  <c r="AB67" i="2"/>
  <c r="AC67" i="2" s="1"/>
  <c r="AG67" i="2" s="1"/>
  <c r="AG70" i="2"/>
  <c r="AG79" i="2"/>
  <c r="AG83" i="2"/>
  <c r="AE86" i="2"/>
  <c r="AD136" i="2"/>
  <c r="AE136" i="2" s="1"/>
  <c r="AF46" i="2"/>
  <c r="AF56" i="2"/>
  <c r="AG56" i="2" s="1"/>
  <c r="AD68" i="2"/>
  <c r="AE68" i="2" s="1"/>
  <c r="AB75" i="2"/>
  <c r="AC75" i="2" s="1"/>
  <c r="AG75" i="2" s="1"/>
  <c r="AG86" i="2"/>
  <c r="AF91" i="2"/>
  <c r="AG91" i="2" s="1"/>
  <c r="AE92" i="2"/>
  <c r="AD96" i="2"/>
  <c r="AE96" i="2" s="1"/>
  <c r="AD100" i="2"/>
  <c r="AE100" i="2"/>
  <c r="AH136" i="2"/>
  <c r="AJ136" i="2" s="1"/>
  <c r="AH140" i="2"/>
  <c r="AJ140" i="2" s="1"/>
  <c r="AD143" i="2"/>
  <c r="AE143" i="2" s="1"/>
  <c r="AH161" i="2"/>
  <c r="AJ161" i="2" s="1"/>
  <c r="AB80" i="2"/>
  <c r="AC80" i="2" s="1"/>
  <c r="AF80" i="2"/>
  <c r="AD107" i="2"/>
  <c r="AE107" i="2"/>
  <c r="AF109" i="2"/>
  <c r="AB109" i="2"/>
  <c r="AC109" i="2" s="1"/>
  <c r="AH133" i="2"/>
  <c r="AJ133" i="2" s="1"/>
  <c r="AD139" i="2"/>
  <c r="AE139" i="2" s="1"/>
  <c r="X172" i="2"/>
  <c r="D190" i="2"/>
  <c r="AB84" i="2"/>
  <c r="AC84" i="2" s="1"/>
  <c r="AF84" i="2"/>
  <c r="AD85" i="2"/>
  <c r="AE85" i="2" s="1"/>
  <c r="AF39" i="2"/>
  <c r="AG39" i="2" s="1"/>
  <c r="AF51" i="2"/>
  <c r="AG51" i="2" s="1"/>
  <c r="AF61" i="2"/>
  <c r="AG61" i="2" s="1"/>
  <c r="AB64" i="2"/>
  <c r="AC64" i="2" s="1"/>
  <c r="AD81" i="2"/>
  <c r="AE81" i="2" s="1"/>
  <c r="AF87" i="2"/>
  <c r="AE88" i="2"/>
  <c r="AG125" i="2"/>
  <c r="AD125" i="2"/>
  <c r="AE125" i="2" s="1"/>
  <c r="AG127" i="2"/>
  <c r="AD127" i="2"/>
  <c r="AE127" i="2" s="1"/>
  <c r="AD133" i="2"/>
  <c r="AE133" i="2"/>
  <c r="AH152" i="2"/>
  <c r="AJ152" i="2" s="1"/>
  <c r="AH157" i="2"/>
  <c r="AJ157" i="2" s="1"/>
  <c r="AD160" i="2"/>
  <c r="AE160" i="2" s="1"/>
  <c r="AD163" i="2"/>
  <c r="AE163" i="2"/>
  <c r="AB141" i="2"/>
  <c r="AC141" i="2" s="1"/>
  <c r="AD155" i="2"/>
  <c r="AE155" i="2" s="1"/>
  <c r="AF104" i="2"/>
  <c r="AG104" i="2" s="1"/>
  <c r="AF126" i="2"/>
  <c r="AG126" i="2" s="1"/>
  <c r="AF128" i="2"/>
  <c r="AB129" i="2"/>
  <c r="AC129" i="2" s="1"/>
  <c r="AF129" i="2"/>
  <c r="AF130" i="2"/>
  <c r="AG130" i="2" s="1"/>
  <c r="AF134" i="2"/>
  <c r="AG134" i="2" s="1"/>
  <c r="AG156" i="2"/>
  <c r="AB162" i="2"/>
  <c r="AC162" i="2" s="1"/>
  <c r="AE164" i="2"/>
  <c r="AD164" i="2"/>
  <c r="AE142" i="2"/>
  <c r="AD153" i="2"/>
  <c r="AE153" i="2" s="1"/>
  <c r="AD154" i="2"/>
  <c r="AE154" i="2" s="1"/>
  <c r="AH155" i="2"/>
  <c r="AJ155" i="2" s="1"/>
  <c r="AD161" i="2"/>
  <c r="AE161" i="2" s="1"/>
  <c r="AG165" i="2"/>
  <c r="AG170" i="2"/>
  <c r="AB168" i="2"/>
  <c r="AC168" i="2" s="1"/>
  <c r="AB170" i="2"/>
  <c r="AC170" i="2" s="1"/>
  <c r="AE159" i="2"/>
  <c r="AD159" i="2"/>
  <c r="AG163" i="2"/>
  <c r="AH94" i="2"/>
  <c r="AJ94" i="2" s="1"/>
  <c r="AG99" i="2"/>
  <c r="AB102" i="2"/>
  <c r="AC102" i="2" s="1"/>
  <c r="AG102" i="2" s="1"/>
  <c r="AB110" i="2"/>
  <c r="AC110" i="2" s="1"/>
  <c r="AB111" i="2"/>
  <c r="AC111" i="2" s="1"/>
  <c r="AG111" i="2" s="1"/>
  <c r="AB112" i="2"/>
  <c r="AC112" i="2" s="1"/>
  <c r="AG112" i="2" s="1"/>
  <c r="AB113" i="2"/>
  <c r="AC113" i="2" s="1"/>
  <c r="AB114" i="2"/>
  <c r="AC114" i="2" s="1"/>
  <c r="AG114" i="2" s="1"/>
  <c r="AB115" i="2"/>
  <c r="AC115" i="2" s="1"/>
  <c r="AG115" i="2" s="1"/>
  <c r="AB116" i="2"/>
  <c r="AC116" i="2" s="1"/>
  <c r="AG116" i="2" s="1"/>
  <c r="AB117" i="2"/>
  <c r="AC117" i="2" s="1"/>
  <c r="AG117" i="2" s="1"/>
  <c r="AB118" i="2"/>
  <c r="AC118" i="2" s="1"/>
  <c r="AG118" i="2" s="1"/>
  <c r="AB119" i="2"/>
  <c r="AC119" i="2" s="1"/>
  <c r="AG119" i="2" s="1"/>
  <c r="AB120" i="2"/>
  <c r="AC120" i="2" s="1"/>
  <c r="AB121" i="2"/>
  <c r="AC121" i="2" s="1"/>
  <c r="AB122" i="2"/>
  <c r="AC122" i="2" s="1"/>
  <c r="AB123" i="2"/>
  <c r="AC123" i="2" s="1"/>
  <c r="AB132" i="2"/>
  <c r="AC132" i="2" s="1"/>
  <c r="AG137" i="2"/>
  <c r="AG160" i="2"/>
  <c r="AB167" i="2"/>
  <c r="AC167" i="2" s="1"/>
  <c r="AG167" i="2" s="1"/>
  <c r="AD157" i="2"/>
  <c r="AE157" i="2" s="1"/>
  <c r="AD158" i="2"/>
  <c r="AE158" i="2" s="1"/>
  <c r="AD152" i="2"/>
  <c r="AE152" i="2" s="1"/>
  <c r="AG158" i="2"/>
  <c r="AB166" i="2"/>
  <c r="AC166" i="2" s="1"/>
  <c r="AG166" i="2" s="1"/>
  <c r="AH49" i="2" l="1"/>
  <c r="AJ49" i="2" s="1"/>
  <c r="AI164" i="2"/>
  <c r="AD93" i="2"/>
  <c r="AE93" i="2" s="1"/>
  <c r="AG50" i="2"/>
  <c r="AE44" i="2"/>
  <c r="AD105" i="2"/>
  <c r="AE105" i="2" s="1"/>
  <c r="AG66" i="2"/>
  <c r="AH66" i="2" s="1"/>
  <c r="AJ66" i="2" s="1"/>
  <c r="AD126" i="2"/>
  <c r="AE126" i="2" s="1"/>
  <c r="AG43" i="2"/>
  <c r="AI153" i="2"/>
  <c r="AG38" i="2"/>
  <c r="AH38" i="2" s="1"/>
  <c r="AJ38" i="2" s="1"/>
  <c r="AE43" i="2"/>
  <c r="AG95" i="2"/>
  <c r="AD138" i="2"/>
  <c r="AE138" i="2" s="1"/>
  <c r="AE169" i="2"/>
  <c r="AD131" i="2"/>
  <c r="AE131" i="2" s="1"/>
  <c r="AG31" i="2"/>
  <c r="AH31" i="2" s="1"/>
  <c r="AJ31" i="2" s="1"/>
  <c r="AE66" i="2"/>
  <c r="AE34" i="2"/>
  <c r="AG69" i="2"/>
  <c r="AH69" i="2" s="1"/>
  <c r="AJ69" i="2" s="1"/>
  <c r="AG44" i="2"/>
  <c r="AG14" i="2"/>
  <c r="AE50" i="2"/>
  <c r="AH159" i="2"/>
  <c r="AJ159" i="2" s="1"/>
  <c r="AG40" i="2"/>
  <c r="AD71" i="2"/>
  <c r="AE71" i="2" s="1"/>
  <c r="AG10" i="2"/>
  <c r="AH10" i="2" s="1"/>
  <c r="AJ10" i="2" s="1"/>
  <c r="AG41" i="2"/>
  <c r="AH41" i="2" s="1"/>
  <c r="AJ41" i="2" s="1"/>
  <c r="AG168" i="2"/>
  <c r="AG128" i="2"/>
  <c r="AG64" i="2"/>
  <c r="AI136" i="2"/>
  <c r="AG78" i="2"/>
  <c r="AE31" i="2"/>
  <c r="AG103" i="2"/>
  <c r="AH103" i="2" s="1"/>
  <c r="AJ103" i="2" s="1"/>
  <c r="AG34" i="2"/>
  <c r="AH138" i="2"/>
  <c r="AJ138" i="2" s="1"/>
  <c r="AG80" i="2"/>
  <c r="AI105" i="2"/>
  <c r="AD98" i="2"/>
  <c r="AE98" i="2"/>
  <c r="AI155" i="2"/>
  <c r="AI154" i="2"/>
  <c r="AI27" i="2"/>
  <c r="AG11" i="2"/>
  <c r="AH11" i="2" s="1"/>
  <c r="AJ11" i="2" s="1"/>
  <c r="AD55" i="2"/>
  <c r="AE55" i="2" s="1"/>
  <c r="AH142" i="2"/>
  <c r="AJ142" i="2" s="1"/>
  <c r="AG92" i="2"/>
  <c r="AH92" i="2" s="1"/>
  <c r="AJ92" i="2" s="1"/>
  <c r="AG22" i="2"/>
  <c r="AG55" i="2"/>
  <c r="AG77" i="2"/>
  <c r="AH77" i="2" s="1"/>
  <c r="AJ77" i="2" s="1"/>
  <c r="AH143" i="2"/>
  <c r="AJ143" i="2" s="1"/>
  <c r="AG46" i="2"/>
  <c r="AG87" i="2"/>
  <c r="AD11" i="2"/>
  <c r="AE11" i="2" s="1"/>
  <c r="AH96" i="2"/>
  <c r="AJ96" i="2" s="1"/>
  <c r="AG98" i="2"/>
  <c r="AI90" i="2"/>
  <c r="AG82" i="2"/>
  <c r="AH81" i="2"/>
  <c r="AJ81" i="2" s="1"/>
  <c r="AG169" i="2"/>
  <c r="AG59" i="2"/>
  <c r="AI31" i="2"/>
  <c r="AI97" i="2"/>
  <c r="AE46" i="2"/>
  <c r="V11" i="2"/>
  <c r="W11" i="2" s="1"/>
  <c r="AE26" i="2"/>
  <c r="V153" i="2"/>
  <c r="W153" i="2" s="1"/>
  <c r="AD90" i="2"/>
  <c r="AE90" i="2"/>
  <c r="AH112" i="2"/>
  <c r="AJ112" i="2" s="1"/>
  <c r="AH167" i="2"/>
  <c r="AJ167" i="2" s="1"/>
  <c r="AH119" i="2"/>
  <c r="AJ119" i="2" s="1"/>
  <c r="AH40" i="2"/>
  <c r="AJ40" i="2" s="1"/>
  <c r="AH117" i="2"/>
  <c r="AJ117" i="2" s="1"/>
  <c r="AH37" i="2"/>
  <c r="AJ37" i="2" s="1"/>
  <c r="AH118" i="2"/>
  <c r="AJ118" i="2" s="1"/>
  <c r="AI116" i="2"/>
  <c r="AH116" i="2"/>
  <c r="AJ116" i="2" s="1"/>
  <c r="AH166" i="2"/>
  <c r="AJ166" i="2" s="1"/>
  <c r="AH115" i="2"/>
  <c r="AJ115" i="2" s="1"/>
  <c r="AH114" i="2"/>
  <c r="AJ114" i="2" s="1"/>
  <c r="AH64" i="2"/>
  <c r="AJ64" i="2" s="1"/>
  <c r="AH80" i="2"/>
  <c r="AJ80" i="2" s="1"/>
  <c r="AD122" i="2"/>
  <c r="AE122" i="2" s="1"/>
  <c r="AI39" i="2"/>
  <c r="AH39" i="2"/>
  <c r="AJ39" i="2" s="1"/>
  <c r="AH86" i="2"/>
  <c r="AJ86" i="2" s="1"/>
  <c r="AH95" i="2"/>
  <c r="AJ95" i="2" s="1"/>
  <c r="AH71" i="2"/>
  <c r="AJ71" i="2" s="1"/>
  <c r="AD121" i="2"/>
  <c r="AE121" i="2" s="1"/>
  <c r="AD113" i="2"/>
  <c r="AE113" i="2" s="1"/>
  <c r="AH165" i="2"/>
  <c r="AJ165" i="2" s="1"/>
  <c r="AG129" i="2"/>
  <c r="AD141" i="2"/>
  <c r="AE141" i="2" s="1"/>
  <c r="AI152" i="2"/>
  <c r="AH127" i="2"/>
  <c r="AJ127" i="2" s="1"/>
  <c r="AD75" i="2"/>
  <c r="AE75" i="2"/>
  <c r="AH83" i="2"/>
  <c r="AJ83" i="2" s="1"/>
  <c r="AH58" i="2"/>
  <c r="AJ58" i="2" s="1"/>
  <c r="AD78" i="2"/>
  <c r="AE78" i="2" s="1"/>
  <c r="AI124" i="2"/>
  <c r="AD60" i="2"/>
  <c r="AE60" i="2" s="1"/>
  <c r="AH18" i="2"/>
  <c r="AJ18" i="2" s="1"/>
  <c r="AD101" i="2"/>
  <c r="AE101" i="2" s="1"/>
  <c r="AH76" i="2"/>
  <c r="AJ76" i="2" s="1"/>
  <c r="AI68" i="2"/>
  <c r="AH33" i="2"/>
  <c r="AJ33" i="2" s="1"/>
  <c r="AG141" i="2"/>
  <c r="AI14" i="2"/>
  <c r="AH14" i="2"/>
  <c r="AJ14" i="2" s="1"/>
  <c r="AI93" i="2"/>
  <c r="AH163" i="2"/>
  <c r="AJ163" i="2" s="1"/>
  <c r="AH101" i="2"/>
  <c r="AJ101" i="2" s="1"/>
  <c r="AH67" i="2"/>
  <c r="AJ67" i="2" s="1"/>
  <c r="AD30" i="2"/>
  <c r="AE30" i="2" s="1"/>
  <c r="AD167" i="2"/>
  <c r="AE167" i="2" s="1"/>
  <c r="AD119" i="2"/>
  <c r="AE119" i="2" s="1"/>
  <c r="AD111" i="2"/>
  <c r="AE111" i="2" s="1"/>
  <c r="AH128" i="2"/>
  <c r="AJ128" i="2" s="1"/>
  <c r="AG84" i="2"/>
  <c r="AG109" i="2"/>
  <c r="AD80" i="2"/>
  <c r="AE80" i="2" s="1"/>
  <c r="AI140" i="2"/>
  <c r="AI100" i="2"/>
  <c r="AI70" i="2"/>
  <c r="AH70" i="2"/>
  <c r="AJ70" i="2" s="1"/>
  <c r="AH89" i="2"/>
  <c r="AJ89" i="2" s="1"/>
  <c r="AI89" i="2"/>
  <c r="AD35" i="2"/>
  <c r="AE35" i="2" s="1"/>
  <c r="AH16" i="2"/>
  <c r="AJ16" i="2" s="1"/>
  <c r="AI77" i="2"/>
  <c r="AI57" i="2"/>
  <c r="AD21" i="2"/>
  <c r="AE21" i="2" s="1"/>
  <c r="AH48" i="2"/>
  <c r="AJ48" i="2" s="1"/>
  <c r="AH25" i="2"/>
  <c r="AJ25" i="2" s="1"/>
  <c r="AH12" i="2"/>
  <c r="AJ12" i="2" s="1"/>
  <c r="AI66" i="2"/>
  <c r="AH87" i="2"/>
  <c r="AJ87" i="2" s="1"/>
  <c r="AH17" i="2"/>
  <c r="AJ17" i="2" s="1"/>
  <c r="AD110" i="2"/>
  <c r="AE110" i="2" s="1"/>
  <c r="AH125" i="2"/>
  <c r="AJ125" i="2" s="1"/>
  <c r="AH75" i="2"/>
  <c r="AJ75" i="2" s="1"/>
  <c r="AH52" i="2"/>
  <c r="AJ52" i="2" s="1"/>
  <c r="AG30" i="2"/>
  <c r="AH45" i="2"/>
  <c r="AJ45" i="2" s="1"/>
  <c r="AD24" i="2"/>
  <c r="AE24" i="2" s="1"/>
  <c r="AD129" i="2"/>
  <c r="AE129" i="2" s="1"/>
  <c r="AH79" i="2"/>
  <c r="AJ79" i="2" s="1"/>
  <c r="AH36" i="2"/>
  <c r="AJ36" i="2" s="1"/>
  <c r="AD118" i="2"/>
  <c r="AE118" i="2" s="1"/>
  <c r="AH102" i="2"/>
  <c r="AJ102" i="2" s="1"/>
  <c r="AI102" i="2"/>
  <c r="AH62" i="2"/>
  <c r="AJ62" i="2" s="1"/>
  <c r="AH107" i="2"/>
  <c r="AJ107" i="2" s="1"/>
  <c r="AH104" i="2"/>
  <c r="AJ104" i="2" s="1"/>
  <c r="AD64" i="2"/>
  <c r="AE64" i="2" s="1"/>
  <c r="AH46" i="2"/>
  <c r="AJ46" i="2" s="1"/>
  <c r="AD67" i="2"/>
  <c r="AE67" i="2" s="1"/>
  <c r="AD40" i="2"/>
  <c r="AE40" i="2" s="1"/>
  <c r="AG121" i="2"/>
  <c r="AH60" i="2"/>
  <c r="AJ60" i="2" s="1"/>
  <c r="AD32" i="2"/>
  <c r="AE32" i="2" s="1"/>
  <c r="D195" i="2"/>
  <c r="AH50" i="2"/>
  <c r="AJ50" i="2" s="1"/>
  <c r="AH44" i="2"/>
  <c r="AJ44" i="2" s="1"/>
  <c r="AH23" i="2"/>
  <c r="AJ23" i="2" s="1"/>
  <c r="AI54" i="2"/>
  <c r="AD120" i="2"/>
  <c r="AE120" i="2" s="1"/>
  <c r="AH111" i="2"/>
  <c r="AJ111" i="2" s="1"/>
  <c r="AH72" i="2"/>
  <c r="AJ72" i="2" s="1"/>
  <c r="AH28" i="2"/>
  <c r="AJ28" i="2" s="1"/>
  <c r="AH126" i="2"/>
  <c r="AJ126" i="2" s="1"/>
  <c r="AD84" i="2"/>
  <c r="AE84" i="2" s="1"/>
  <c r="AH56" i="2"/>
  <c r="AJ56" i="2" s="1"/>
  <c r="AG110" i="2"/>
  <c r="AD166" i="2"/>
  <c r="AE166" i="2" s="1"/>
  <c r="AH137" i="2"/>
  <c r="AJ137" i="2" s="1"/>
  <c r="AD117" i="2"/>
  <c r="AE117" i="2" s="1"/>
  <c r="AD170" i="2"/>
  <c r="AE170" i="2" s="1"/>
  <c r="AD162" i="2"/>
  <c r="AE162" i="2" s="1"/>
  <c r="AG120" i="2"/>
  <c r="AH158" i="2"/>
  <c r="AJ158" i="2" s="1"/>
  <c r="AD132" i="2"/>
  <c r="AE132" i="2" s="1"/>
  <c r="AD116" i="2"/>
  <c r="AE116" i="2" s="1"/>
  <c r="AD102" i="2"/>
  <c r="AE102" i="2" s="1"/>
  <c r="AD168" i="2"/>
  <c r="AE168" i="2" s="1"/>
  <c r="AH156" i="2"/>
  <c r="AJ156" i="2" s="1"/>
  <c r="AG162" i="2"/>
  <c r="AI157" i="2"/>
  <c r="AH131" i="2"/>
  <c r="AJ131" i="2" s="1"/>
  <c r="AH61" i="2"/>
  <c r="AJ61" i="2" s="1"/>
  <c r="AI161" i="2"/>
  <c r="AG122" i="2"/>
  <c r="AH139" i="2"/>
  <c r="AJ139" i="2" s="1"/>
  <c r="AI94" i="2"/>
  <c r="AH65" i="2"/>
  <c r="AJ65" i="2" s="1"/>
  <c r="AG132" i="2"/>
  <c r="AI144" i="2"/>
  <c r="AH144" i="2"/>
  <c r="AJ144" i="2" s="1"/>
  <c r="AG113" i="2"/>
  <c r="AD82" i="2"/>
  <c r="AE82" i="2" s="1"/>
  <c r="AD53" i="2"/>
  <c r="AE53" i="2" s="1"/>
  <c r="AI88" i="2"/>
  <c r="AG35" i="2"/>
  <c r="AG42" i="2"/>
  <c r="AH74" i="2"/>
  <c r="AJ74" i="2" s="1"/>
  <c r="AI19" i="2"/>
  <c r="AG21" i="2"/>
  <c r="AD112" i="2"/>
  <c r="AE112" i="2" s="1"/>
  <c r="AD109" i="2"/>
  <c r="AE109" i="2" s="1"/>
  <c r="AH43" i="2"/>
  <c r="AJ43" i="2" s="1"/>
  <c r="AH13" i="2"/>
  <c r="AJ13" i="2" s="1"/>
  <c r="AI160" i="2"/>
  <c r="AH160" i="2"/>
  <c r="AJ160" i="2" s="1"/>
  <c r="AD123" i="2"/>
  <c r="AE123" i="2" s="1"/>
  <c r="AD115" i="2"/>
  <c r="AE115" i="2" s="1"/>
  <c r="AH99" i="2"/>
  <c r="AJ99" i="2" s="1"/>
  <c r="AH170" i="2"/>
  <c r="AJ170" i="2" s="1"/>
  <c r="AH134" i="2"/>
  <c r="AJ134" i="2" s="1"/>
  <c r="AI51" i="2"/>
  <c r="AH51" i="2"/>
  <c r="AJ51" i="2" s="1"/>
  <c r="AI133" i="2"/>
  <c r="AH91" i="2"/>
  <c r="AJ91" i="2" s="1"/>
  <c r="AI108" i="2"/>
  <c r="AD95" i="2"/>
  <c r="AE95" i="2"/>
  <c r="AH53" i="2"/>
  <c r="AJ53" i="2" s="1"/>
  <c r="AH26" i="2"/>
  <c r="AJ26" i="2" s="1"/>
  <c r="AE69" i="2"/>
  <c r="AD69" i="2"/>
  <c r="AG32" i="2"/>
  <c r="AD37" i="2"/>
  <c r="AE37" i="2" s="1"/>
  <c r="AD42" i="2"/>
  <c r="AE42" i="2" s="1"/>
  <c r="AI63" i="2"/>
  <c r="AG24" i="2"/>
  <c r="AI73" i="2"/>
  <c r="AD114" i="2"/>
  <c r="AE114" i="2" s="1"/>
  <c r="AH168" i="2"/>
  <c r="AJ168" i="2" s="1"/>
  <c r="AH130" i="2"/>
  <c r="AJ130" i="2" s="1"/>
  <c r="AH85" i="2"/>
  <c r="AJ85" i="2" s="1"/>
  <c r="AH78" i="2"/>
  <c r="AJ78" i="2" s="1"/>
  <c r="AH135" i="2"/>
  <c r="AJ135" i="2" s="1"/>
  <c r="AH20" i="2"/>
  <c r="AJ20" i="2" s="1"/>
  <c r="AG123" i="2"/>
  <c r="AH29" i="2"/>
  <c r="AJ29" i="2" s="1"/>
  <c r="AH47" i="2"/>
  <c r="AJ47" i="2" s="1"/>
  <c r="AI15" i="2"/>
  <c r="AH15" i="2"/>
  <c r="AJ15" i="2" s="1"/>
  <c r="AI29" i="2" l="1"/>
  <c r="AI168" i="2"/>
  <c r="AI79" i="2"/>
  <c r="AI103" i="2"/>
  <c r="AI92" i="2"/>
  <c r="AI75" i="2"/>
  <c r="AI10" i="2"/>
  <c r="AI41" i="2"/>
  <c r="AI134" i="2"/>
  <c r="AI56" i="2"/>
  <c r="AI45" i="2"/>
  <c r="AI49" i="2"/>
  <c r="AH34" i="2"/>
  <c r="AJ34" i="2" s="1"/>
  <c r="AI81" i="2"/>
  <c r="AI47" i="2"/>
  <c r="AI33" i="2"/>
  <c r="AI96" i="2"/>
  <c r="AI159" i="2"/>
  <c r="AI99" i="2"/>
  <c r="AI74" i="2"/>
  <c r="AI48" i="2"/>
  <c r="AH98" i="2"/>
  <c r="AJ98" i="2" s="1"/>
  <c r="AI170" i="2"/>
  <c r="AI128" i="2"/>
  <c r="AI127" i="2"/>
  <c r="AI38" i="2"/>
  <c r="AI61" i="2"/>
  <c r="AI107" i="2"/>
  <c r="AI52" i="2"/>
  <c r="AI64" i="2"/>
  <c r="AI91" i="2"/>
  <c r="AI142" i="2"/>
  <c r="AH55" i="2"/>
  <c r="AJ55" i="2" s="1"/>
  <c r="AI143" i="2"/>
  <c r="AI43" i="2"/>
  <c r="AH22" i="2"/>
  <c r="AJ22" i="2" s="1"/>
  <c r="AH82" i="2"/>
  <c r="AJ82" i="2" s="1"/>
  <c r="AI58" i="2"/>
  <c r="AH59" i="2"/>
  <c r="AJ59" i="2" s="1"/>
  <c r="AI28" i="2"/>
  <c r="AI69" i="2"/>
  <c r="AH169" i="2"/>
  <c r="AJ169" i="2" s="1"/>
  <c r="AI11" i="2"/>
  <c r="AI111" i="2"/>
  <c r="AI12" i="2"/>
  <c r="AI83" i="2"/>
  <c r="AI138" i="2"/>
  <c r="AI42" i="2"/>
  <c r="AH42" i="2"/>
  <c r="AJ42" i="2" s="1"/>
  <c r="AI85" i="2"/>
  <c r="AH122" i="2"/>
  <c r="AJ122" i="2" s="1"/>
  <c r="AH162" i="2"/>
  <c r="AJ162" i="2" s="1"/>
  <c r="AK152" i="2" s="1"/>
  <c r="AL152" i="2" s="1"/>
  <c r="AH110" i="2"/>
  <c r="AJ110" i="2" s="1"/>
  <c r="AI87" i="2"/>
  <c r="AH123" i="2"/>
  <c r="AJ123" i="2" s="1"/>
  <c r="AH109" i="2"/>
  <c r="AJ109" i="2" s="1"/>
  <c r="AH129" i="2"/>
  <c r="AJ129" i="2" s="1"/>
  <c r="AH35" i="2"/>
  <c r="AJ35" i="2" s="1"/>
  <c r="AH21" i="2"/>
  <c r="AJ21" i="2" s="1"/>
  <c r="AI72" i="2"/>
  <c r="AI23" i="2"/>
  <c r="AI36" i="2"/>
  <c r="AH84" i="2"/>
  <c r="AJ84" i="2" s="1"/>
  <c r="AI163" i="2"/>
  <c r="AI114" i="2"/>
  <c r="AI118" i="2"/>
  <c r="AH24" i="2"/>
  <c r="AJ24" i="2" s="1"/>
  <c r="AH132" i="2"/>
  <c r="AJ132" i="2" s="1"/>
  <c r="AI132" i="2"/>
  <c r="AI20" i="2"/>
  <c r="AI130" i="2"/>
  <c r="AI26" i="2"/>
  <c r="AI13" i="2"/>
  <c r="AI65" i="2"/>
  <c r="AI44" i="2"/>
  <c r="AI60" i="2"/>
  <c r="AI125" i="2"/>
  <c r="AI76" i="2"/>
  <c r="AI165" i="2"/>
  <c r="AI71" i="2"/>
  <c r="AI119" i="2"/>
  <c r="AI156" i="2"/>
  <c r="AI135" i="2"/>
  <c r="AI53" i="2"/>
  <c r="AI158" i="2"/>
  <c r="AI137" i="2"/>
  <c r="AI46" i="2"/>
  <c r="AI62" i="2"/>
  <c r="AI95" i="2"/>
  <c r="AI115" i="2"/>
  <c r="AI37" i="2"/>
  <c r="AI167" i="2"/>
  <c r="AH30" i="2"/>
  <c r="AJ30" i="2" s="1"/>
  <c r="AI126" i="2"/>
  <c r="AI50" i="2"/>
  <c r="AH121" i="2"/>
  <c r="AJ121" i="2" s="1"/>
  <c r="AI25" i="2"/>
  <c r="AI16" i="2"/>
  <c r="AI67" i="2"/>
  <c r="AH141" i="2"/>
  <c r="AJ141" i="2" s="1"/>
  <c r="AI80" i="2"/>
  <c r="AI166" i="2"/>
  <c r="AI117" i="2"/>
  <c r="AI120" i="2"/>
  <c r="AH120" i="2"/>
  <c r="AJ120" i="2" s="1"/>
  <c r="AI131" i="2"/>
  <c r="AI78" i="2"/>
  <c r="AH32" i="2"/>
  <c r="AJ32" i="2" s="1"/>
  <c r="AH113" i="2"/>
  <c r="AJ113" i="2" s="1"/>
  <c r="AI139" i="2"/>
  <c r="AI104" i="2"/>
  <c r="AI17" i="2"/>
  <c r="AI101" i="2"/>
  <c r="AI18" i="2"/>
  <c r="AI86" i="2"/>
  <c r="AI40" i="2"/>
  <c r="AI112" i="2"/>
  <c r="AI32" i="2" l="1"/>
  <c r="AI98" i="2"/>
  <c r="AI169" i="2"/>
  <c r="AI34" i="2"/>
  <c r="AI141" i="2"/>
  <c r="AI24" i="2"/>
  <c r="AI162" i="2"/>
  <c r="AI59" i="2"/>
  <c r="AI55" i="2"/>
  <c r="AK10" i="2"/>
  <c r="AL10" i="2" s="1"/>
  <c r="N176" i="2" s="1"/>
  <c r="N178" i="2" s="1"/>
  <c r="N180" i="2" s="1"/>
  <c r="AI22" i="2"/>
  <c r="AI35" i="2"/>
  <c r="AI82" i="2"/>
  <c r="AI109" i="2"/>
  <c r="AI113" i="2"/>
  <c r="AI121" i="2"/>
  <c r="AI122" i="2"/>
  <c r="AI21" i="2"/>
  <c r="AI123" i="2"/>
  <c r="AI30" i="2"/>
  <c r="AI84" i="2"/>
  <c r="AI110" i="2"/>
  <c r="AI129" i="2"/>
</calcChain>
</file>

<file path=xl/sharedStrings.xml><?xml version="1.0" encoding="utf-8"?>
<sst xmlns="http://schemas.openxmlformats.org/spreadsheetml/2006/main" count="315" uniqueCount="254">
  <si>
    <t>№ точки</t>
  </si>
  <si>
    <t>Х</t>
  </si>
  <si>
    <t>У</t>
  </si>
  <si>
    <t>1'</t>
  </si>
  <si>
    <t>2'</t>
  </si>
  <si>
    <t>10'</t>
  </si>
  <si>
    <t>11'</t>
  </si>
  <si>
    <t>17'</t>
  </si>
  <si>
    <t>18'</t>
  </si>
  <si>
    <t>О2</t>
  </si>
  <si>
    <t>О3</t>
  </si>
  <si>
    <t>О4</t>
  </si>
  <si>
    <t>О5</t>
  </si>
  <si>
    <t>О6</t>
  </si>
  <si>
    <t>О7</t>
  </si>
  <si>
    <t>О8</t>
  </si>
  <si>
    <t>О9</t>
  </si>
  <si>
    <t>O2'</t>
  </si>
  <si>
    <t>Секция О1</t>
  </si>
  <si>
    <t>№точки</t>
  </si>
  <si>
    <t>3'</t>
  </si>
  <si>
    <t>4'</t>
  </si>
  <si>
    <t>5'</t>
  </si>
  <si>
    <t>6'</t>
  </si>
  <si>
    <t>7'</t>
  </si>
  <si>
    <t>8'</t>
  </si>
  <si>
    <t>9'</t>
  </si>
  <si>
    <t>12'</t>
  </si>
  <si>
    <t>13'</t>
  </si>
  <si>
    <t>14'</t>
  </si>
  <si>
    <t>15'</t>
  </si>
  <si>
    <t>16'</t>
  </si>
  <si>
    <t>19'</t>
  </si>
  <si>
    <t>O1</t>
  </si>
  <si>
    <t>О1'</t>
  </si>
  <si>
    <r>
      <t>r</t>
    </r>
    <r>
      <rPr>
        <vertAlign val="subscript"/>
        <sz val="11"/>
        <color theme="1"/>
        <rFont val="Calibri"/>
        <family val="2"/>
        <charset val="204"/>
        <scheme val="minor"/>
      </rPr>
      <t>y</t>
    </r>
  </si>
  <si>
    <t>O1-2</t>
  </si>
  <si>
    <t>O1-3</t>
  </si>
  <si>
    <t>O1-4</t>
  </si>
  <si>
    <t>O1-5</t>
  </si>
  <si>
    <t>O1-6</t>
  </si>
  <si>
    <t>O1-7</t>
  </si>
  <si>
    <t>O1-8</t>
  </si>
  <si>
    <t>Секция О2</t>
  </si>
  <si>
    <t>О2-9</t>
  </si>
  <si>
    <t>О2-10</t>
  </si>
  <si>
    <t>О2-11</t>
  </si>
  <si>
    <t>О2-12</t>
  </si>
  <si>
    <t>О2-13</t>
  </si>
  <si>
    <t>О2-14</t>
  </si>
  <si>
    <t>О2-15</t>
  </si>
  <si>
    <t>О2-16</t>
  </si>
  <si>
    <t>О2-17</t>
  </si>
  <si>
    <t>О2-18</t>
  </si>
  <si>
    <t>О2-19</t>
  </si>
  <si>
    <t>О2-20</t>
  </si>
  <si>
    <t>О2-21</t>
  </si>
  <si>
    <t>О2-22</t>
  </si>
  <si>
    <t>О2-23</t>
  </si>
  <si>
    <t>Секция О3</t>
  </si>
  <si>
    <t>О3-24</t>
  </si>
  <si>
    <t>О3-25</t>
  </si>
  <si>
    <t>О3-26</t>
  </si>
  <si>
    <t>О3-27</t>
  </si>
  <si>
    <t>О3-28</t>
  </si>
  <si>
    <t>О3-29</t>
  </si>
  <si>
    <t>О3-30</t>
  </si>
  <si>
    <t>О3-31</t>
  </si>
  <si>
    <t>О3-32</t>
  </si>
  <si>
    <t>О3-33</t>
  </si>
  <si>
    <t>О3-34</t>
  </si>
  <si>
    <t>Секция О4</t>
  </si>
  <si>
    <t>О4-35</t>
  </si>
  <si>
    <t>О4-36</t>
  </si>
  <si>
    <t>О4-37</t>
  </si>
  <si>
    <t>О4-38</t>
  </si>
  <si>
    <t>О4-39</t>
  </si>
  <si>
    <t>О4-40</t>
  </si>
  <si>
    <t>О4-41</t>
  </si>
  <si>
    <t>Секция О5</t>
  </si>
  <si>
    <t>О5-42</t>
  </si>
  <si>
    <t>О5-43</t>
  </si>
  <si>
    <t>О5-44</t>
  </si>
  <si>
    <t>О5-45</t>
  </si>
  <si>
    <t>О5-46</t>
  </si>
  <si>
    <t>О5-47</t>
  </si>
  <si>
    <t>О5-48</t>
  </si>
  <si>
    <t>О5-49</t>
  </si>
  <si>
    <t>Секция О6</t>
  </si>
  <si>
    <t>О6-50</t>
  </si>
  <si>
    <t>О6-51</t>
  </si>
  <si>
    <t>О6-52</t>
  </si>
  <si>
    <t>О6-53</t>
  </si>
  <si>
    <t>О6-54</t>
  </si>
  <si>
    <t>О6-55</t>
  </si>
  <si>
    <t>О6-56</t>
  </si>
  <si>
    <t>О6-57</t>
  </si>
  <si>
    <t>О6-58</t>
  </si>
  <si>
    <t>О6-59</t>
  </si>
  <si>
    <t>О6-60</t>
  </si>
  <si>
    <t>О6-61</t>
  </si>
  <si>
    <t>О6-62</t>
  </si>
  <si>
    <t>О6-63</t>
  </si>
  <si>
    <t>О6-64</t>
  </si>
  <si>
    <t>О6-65</t>
  </si>
  <si>
    <t>Секция О7</t>
  </si>
  <si>
    <t>О7-66</t>
  </si>
  <si>
    <t>О7-67</t>
  </si>
  <si>
    <t>О7-68</t>
  </si>
  <si>
    <t>О7-69</t>
  </si>
  <si>
    <t>О7-70</t>
  </si>
  <si>
    <t>О7-71</t>
  </si>
  <si>
    <t>О7-72</t>
  </si>
  <si>
    <t>О7-73</t>
  </si>
  <si>
    <t>О7-74</t>
  </si>
  <si>
    <t>О7-75</t>
  </si>
  <si>
    <t>О7-76</t>
  </si>
  <si>
    <t>О7-77</t>
  </si>
  <si>
    <t>О7-78</t>
  </si>
  <si>
    <t>О7-79</t>
  </si>
  <si>
    <t>О7-80</t>
  </si>
  <si>
    <t>О7-81</t>
  </si>
  <si>
    <t>О7-82</t>
  </si>
  <si>
    <t>О7-83</t>
  </si>
  <si>
    <t>О7-84</t>
  </si>
  <si>
    <t>Секция О8</t>
  </si>
  <si>
    <t>О8-85</t>
  </si>
  <si>
    <t>О8-86</t>
  </si>
  <si>
    <t>О8-87</t>
  </si>
  <si>
    <t>О8-88</t>
  </si>
  <si>
    <t>О8-89</t>
  </si>
  <si>
    <t>О8-90</t>
  </si>
  <si>
    <t>О8-91</t>
  </si>
  <si>
    <t>О8-92</t>
  </si>
  <si>
    <t>О8-93</t>
  </si>
  <si>
    <t>О8-94</t>
  </si>
  <si>
    <t>О8-95</t>
  </si>
  <si>
    <t>О8-96</t>
  </si>
  <si>
    <t>О8-97</t>
  </si>
  <si>
    <t>О8-98</t>
  </si>
  <si>
    <t>О8-99</t>
  </si>
  <si>
    <t>О8-100</t>
  </si>
  <si>
    <t>О8-101</t>
  </si>
  <si>
    <t>О8-102</t>
  </si>
  <si>
    <t>О8-103</t>
  </si>
  <si>
    <t>О8-104</t>
  </si>
  <si>
    <t>О8-105</t>
  </si>
  <si>
    <t>О8-106</t>
  </si>
  <si>
    <t>О8-107</t>
  </si>
  <si>
    <t>О8-108</t>
  </si>
  <si>
    <t>О8-109</t>
  </si>
  <si>
    <t>О8-110</t>
  </si>
  <si>
    <t>О8-111</t>
  </si>
  <si>
    <t>О8-112</t>
  </si>
  <si>
    <t>О8-113</t>
  </si>
  <si>
    <t>О8-114</t>
  </si>
  <si>
    <t>Секция О9</t>
  </si>
  <si>
    <t>О9-115</t>
  </si>
  <si>
    <t>О9-116</t>
  </si>
  <si>
    <t>О9-117</t>
  </si>
  <si>
    <t>О9-118</t>
  </si>
  <si>
    <t>О9-119</t>
  </si>
  <si>
    <t>О9-120</t>
  </si>
  <si>
    <t>О9-121</t>
  </si>
  <si>
    <t>О9-122</t>
  </si>
  <si>
    <t>О9-123</t>
  </si>
  <si>
    <t>О9-124</t>
  </si>
  <si>
    <t>О9-125</t>
  </si>
  <si>
    <t>О9-126</t>
  </si>
  <si>
    <t>О9-127</t>
  </si>
  <si>
    <t>О9-128</t>
  </si>
  <si>
    <t>Секция О1'</t>
  </si>
  <si>
    <t>Секция О2'</t>
  </si>
  <si>
    <t>O1'-2'</t>
  </si>
  <si>
    <t>O1'-3'</t>
  </si>
  <si>
    <t>O1'-4'</t>
  </si>
  <si>
    <t>O1'-5'</t>
  </si>
  <si>
    <t>O1'-6'</t>
  </si>
  <si>
    <t>O1'-7'</t>
  </si>
  <si>
    <t>O1'-8'</t>
  </si>
  <si>
    <t>O1'-10'</t>
  </si>
  <si>
    <t>O1'-11'</t>
  </si>
  <si>
    <t>O1'-12'</t>
  </si>
  <si>
    <t>O1'-13'</t>
  </si>
  <si>
    <t>O1'-14'</t>
  </si>
  <si>
    <t>O1'-15'</t>
  </si>
  <si>
    <t>O1'-16'</t>
  </si>
  <si>
    <t>O1'-17'</t>
  </si>
  <si>
    <t>O1'-9'</t>
  </si>
  <si>
    <r>
      <t>∑r</t>
    </r>
    <r>
      <rPr>
        <vertAlign val="subscript"/>
        <sz val="11"/>
        <color theme="1"/>
        <rFont val="Calibri"/>
        <family val="2"/>
        <charset val="204"/>
      </rPr>
      <t>y</t>
    </r>
  </si>
  <si>
    <r>
      <t>∑r</t>
    </r>
    <r>
      <rPr>
        <vertAlign val="superscript"/>
        <sz val="11"/>
        <color theme="1"/>
        <rFont val="Calibri"/>
        <family val="2"/>
        <charset val="204"/>
      </rPr>
      <t>2</t>
    </r>
    <r>
      <rPr>
        <vertAlign val="subscript"/>
        <sz val="11"/>
        <color theme="1"/>
        <rFont val="Calibri"/>
        <family val="2"/>
        <charset val="204"/>
      </rPr>
      <t>y</t>
    </r>
  </si>
  <si>
    <t>неудалять</t>
  </si>
  <si>
    <t>20 секунд =</t>
  </si>
  <si>
    <r>
      <t>m</t>
    </r>
    <r>
      <rPr>
        <vertAlign val="subscript"/>
        <sz val="11"/>
        <color theme="1"/>
        <rFont val="Calibri"/>
        <family val="2"/>
        <charset val="204"/>
      </rPr>
      <t>β</t>
    </r>
  </si>
  <si>
    <r>
      <t>m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vertAlign val="subscript"/>
        <sz val="11"/>
        <color theme="1"/>
        <rFont val="Calibri"/>
        <family val="2"/>
        <charset val="204"/>
      </rPr>
      <t>β</t>
    </r>
  </si>
  <si>
    <r>
      <rPr>
        <sz val="11"/>
        <color theme="1"/>
        <rFont val="Calibri"/>
        <family val="2"/>
        <charset val="204"/>
      </rPr>
      <t>ρ</t>
    </r>
    <r>
      <rPr>
        <vertAlign val="superscript"/>
        <sz val="11"/>
        <color theme="1"/>
        <rFont val="Calibri"/>
        <family val="2"/>
        <charset val="204"/>
      </rPr>
      <t>2</t>
    </r>
  </si>
  <si>
    <t>ρ</t>
  </si>
  <si>
    <r>
      <t>M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vertAlign val="subscript"/>
        <sz val="11"/>
        <color theme="1"/>
        <rFont val="Calibri"/>
        <family val="2"/>
        <charset val="204"/>
        <scheme val="minor"/>
      </rPr>
      <t>зск</t>
    </r>
  </si>
  <si>
    <r>
      <t>M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vertAlign val="subscript"/>
        <sz val="11"/>
        <color theme="1"/>
        <rFont val="Calibri"/>
        <family val="2"/>
        <charset val="204"/>
        <scheme val="minor"/>
      </rPr>
      <t>канекс</t>
    </r>
  </si>
  <si>
    <t>ЗСК</t>
  </si>
  <si>
    <t>Центр тяжести гиростороны</t>
  </si>
  <si>
    <t>Канекс</t>
  </si>
  <si>
    <t>Свободная секция</t>
  </si>
  <si>
    <t>129-К</t>
  </si>
  <si>
    <t>130-К</t>
  </si>
  <si>
    <t>131-К</t>
  </si>
  <si>
    <t>132-К</t>
  </si>
  <si>
    <t>133-К</t>
  </si>
  <si>
    <t>134-К</t>
  </si>
  <si>
    <t>135-К</t>
  </si>
  <si>
    <t>136-К</t>
  </si>
  <si>
    <t>20'</t>
  </si>
  <si>
    <t>18'-K</t>
  </si>
  <si>
    <t>19'-K</t>
  </si>
  <si>
    <t>20'-K</t>
  </si>
  <si>
    <r>
      <rPr>
        <sz val="11"/>
        <color theme="1"/>
        <rFont val="Calibri"/>
        <family val="2"/>
        <charset val="204"/>
        <scheme val="minor"/>
      </rPr>
      <t>R</t>
    </r>
    <r>
      <rPr>
        <vertAlign val="subscript"/>
        <sz val="11"/>
        <color theme="1"/>
        <rFont val="Calibri"/>
        <family val="2"/>
        <charset val="204"/>
        <scheme val="minor"/>
      </rPr>
      <t>y</t>
    </r>
  </si>
  <si>
    <r>
      <t>∑R</t>
    </r>
    <r>
      <rPr>
        <vertAlign val="subscript"/>
        <sz val="11"/>
        <color theme="1"/>
        <rFont val="Calibri"/>
        <family val="2"/>
        <charset val="204"/>
      </rPr>
      <t>y</t>
    </r>
  </si>
  <si>
    <r>
      <t>∑R</t>
    </r>
    <r>
      <rPr>
        <vertAlign val="superscript"/>
        <sz val="11"/>
        <color theme="1"/>
        <rFont val="Calibri"/>
        <family val="2"/>
        <charset val="204"/>
      </rPr>
      <t>2</t>
    </r>
    <r>
      <rPr>
        <vertAlign val="subscript"/>
        <sz val="11"/>
        <color theme="1"/>
        <rFont val="Calibri"/>
        <family val="2"/>
        <charset val="204"/>
      </rPr>
      <t>y</t>
    </r>
  </si>
  <si>
    <r>
      <t>m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vertAlign val="subscript"/>
        <sz val="11"/>
        <color theme="1"/>
        <rFont val="Calibri"/>
        <family val="2"/>
        <charset val="204"/>
        <scheme val="minor"/>
      </rPr>
      <t>канекс</t>
    </r>
  </si>
  <si>
    <r>
      <t>m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vertAlign val="subscript"/>
        <sz val="11"/>
        <color theme="1"/>
        <rFont val="Calibri"/>
        <family val="2"/>
        <charset val="204"/>
        <scheme val="minor"/>
      </rPr>
      <t>зск</t>
    </r>
  </si>
  <si>
    <r>
      <t>D</t>
    </r>
    <r>
      <rPr>
        <vertAlign val="subscript"/>
        <sz val="11"/>
        <color theme="1"/>
        <rFont val="Calibri"/>
        <family val="2"/>
        <charset val="204"/>
        <scheme val="minor"/>
      </rPr>
      <t>y</t>
    </r>
  </si>
  <si>
    <r>
      <t>D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vertAlign val="subscript"/>
        <sz val="11"/>
        <color theme="1"/>
        <rFont val="Calibri"/>
        <family val="2"/>
        <charset val="204"/>
        <scheme val="minor"/>
      </rPr>
      <t>y</t>
    </r>
  </si>
  <si>
    <t>30 секунд =</t>
  </si>
  <si>
    <r>
      <t>m</t>
    </r>
    <r>
      <rPr>
        <vertAlign val="subscript"/>
        <sz val="11"/>
        <color theme="1"/>
        <rFont val="Calibri"/>
        <family val="2"/>
        <charset val="204"/>
      </rPr>
      <t>α</t>
    </r>
  </si>
  <si>
    <r>
      <t>m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vertAlign val="subscript"/>
        <sz val="11"/>
        <color theme="1"/>
        <rFont val="Calibri"/>
        <family val="2"/>
        <charset val="204"/>
      </rPr>
      <t>α</t>
    </r>
  </si>
  <si>
    <r>
      <t>m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vertAlign val="subscript"/>
        <sz val="11"/>
        <color theme="1"/>
        <rFont val="Calibri"/>
        <family val="2"/>
        <charset val="204"/>
        <scheme val="minor"/>
      </rPr>
      <t>α</t>
    </r>
    <r>
      <rPr>
        <sz val="11"/>
        <color theme="1"/>
        <rFont val="Calibri"/>
        <family val="2"/>
        <charset val="204"/>
        <scheme val="minor"/>
      </rPr>
      <t>D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vertAlign val="subscript"/>
        <sz val="11"/>
        <color theme="1"/>
        <rFont val="Calibri"/>
        <family val="2"/>
        <charset val="204"/>
        <scheme val="minor"/>
      </rPr>
      <t>y</t>
    </r>
  </si>
  <si>
    <r>
      <rPr>
        <sz val="11"/>
        <color theme="1"/>
        <rFont val="Calibri"/>
        <family val="2"/>
        <charset val="204"/>
      </rPr>
      <t>∑</t>
    </r>
    <r>
      <rPr>
        <sz val="11"/>
        <color theme="1"/>
        <rFont val="Calibri"/>
        <family val="2"/>
        <scheme val="minor"/>
      </rPr>
      <t>m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vertAlign val="subscript"/>
        <sz val="11"/>
        <color theme="1"/>
        <rFont val="Calibri"/>
        <family val="2"/>
        <charset val="204"/>
        <scheme val="minor"/>
      </rPr>
      <t>α</t>
    </r>
    <r>
      <rPr>
        <sz val="11"/>
        <color theme="1"/>
        <rFont val="Calibri"/>
        <family val="2"/>
        <charset val="204"/>
        <scheme val="minor"/>
      </rPr>
      <t>D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vertAlign val="subscript"/>
        <sz val="11"/>
        <color theme="1"/>
        <rFont val="Calibri"/>
        <family val="2"/>
        <charset val="204"/>
        <scheme val="minor"/>
      </rPr>
      <t>y</t>
    </r>
  </si>
  <si>
    <r>
      <rPr>
        <sz val="11"/>
        <color theme="1"/>
        <rFont val="Calibri"/>
        <family val="2"/>
        <charset val="204"/>
      </rPr>
      <t>M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vertAlign val="subscript"/>
        <sz val="11"/>
        <color theme="1"/>
        <rFont val="Calibri"/>
        <family val="2"/>
        <charset val="204"/>
        <scheme val="minor"/>
      </rPr>
      <t>α</t>
    </r>
  </si>
  <si>
    <t>l</t>
  </si>
  <si>
    <t>ΔX</t>
  </si>
  <si>
    <t>ΔY</t>
  </si>
  <si>
    <t>Itg rI</t>
  </si>
  <si>
    <t>радианы</t>
  </si>
  <si>
    <t xml:space="preserve">град </t>
  </si>
  <si>
    <t>мин</t>
  </si>
  <si>
    <t>направление</t>
  </si>
  <si>
    <t>РУМБЫ</t>
  </si>
  <si>
    <r>
      <rPr>
        <sz val="11"/>
        <color theme="1"/>
        <rFont val="Calibri"/>
        <family val="2"/>
        <charset val="204"/>
      </rPr>
      <t>α в зависимости от направления</t>
    </r>
    <r>
      <rPr>
        <sz val="7.7"/>
        <color theme="1"/>
        <rFont val="Calibri"/>
        <family val="2"/>
      </rPr>
      <t xml:space="preserve"> </t>
    </r>
  </si>
  <si>
    <r>
      <t>M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vertAlign val="subscript"/>
        <sz val="11"/>
        <color theme="1"/>
        <rFont val="Calibri"/>
        <family val="2"/>
        <charset val="204"/>
        <scheme val="minor"/>
      </rPr>
      <t>l</t>
    </r>
  </si>
  <si>
    <r>
      <t>l</t>
    </r>
    <r>
      <rPr>
        <vertAlign val="subscript"/>
        <sz val="11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scheme val="minor"/>
      </rPr>
      <t>cos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vertAlign val="subscript"/>
        <sz val="11"/>
        <color theme="1"/>
        <rFont val="Calibri"/>
        <family val="2"/>
        <charset val="204"/>
      </rPr>
      <t>α</t>
    </r>
  </si>
  <si>
    <r>
      <rPr>
        <sz val="11"/>
        <color theme="1"/>
        <rFont val="Calibri"/>
        <family val="2"/>
        <charset val="204"/>
      </rPr>
      <t>∑</t>
    </r>
    <r>
      <rPr>
        <sz val="11"/>
        <color theme="1"/>
        <rFont val="Calibri"/>
        <family val="2"/>
        <scheme val="minor"/>
      </rPr>
      <t>l</t>
    </r>
    <r>
      <rPr>
        <vertAlign val="subscript"/>
        <sz val="11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scheme val="minor"/>
      </rPr>
      <t>cos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vertAlign val="subscript"/>
        <sz val="11"/>
        <color theme="1"/>
        <rFont val="Calibri"/>
        <family val="2"/>
        <charset val="204"/>
      </rPr>
      <t>α</t>
    </r>
  </si>
  <si>
    <t>СКО передачи высоты  через ствол ВС-9, мм</t>
  </si>
  <si>
    <t>мм</t>
  </si>
  <si>
    <t>СКО передачи высоты  от ствола ВС-9 по горным выработкам до точки К, мм</t>
  </si>
  <si>
    <r>
      <t>М</t>
    </r>
    <r>
      <rPr>
        <vertAlign val="subscript"/>
        <sz val="16"/>
        <color theme="1"/>
        <rFont val="Calibri"/>
        <family val="2"/>
        <scheme val="minor"/>
      </rPr>
      <t>z ВС-9</t>
    </r>
    <r>
      <rPr>
        <sz val="16"/>
        <color theme="1"/>
        <rFont val="Calibri"/>
        <family val="2"/>
        <scheme val="minor"/>
      </rPr>
      <t>=</t>
    </r>
  </si>
  <si>
    <r>
      <t>М</t>
    </r>
    <r>
      <rPr>
        <vertAlign val="subscript"/>
        <sz val="16"/>
        <color theme="1"/>
        <rFont val="Calibri"/>
        <family val="2"/>
        <scheme val="minor"/>
      </rPr>
      <t>z ВС-9 - К (ЗСК)</t>
    </r>
    <r>
      <rPr>
        <sz val="16"/>
        <color theme="1"/>
        <rFont val="Calibri"/>
        <family val="2"/>
        <scheme val="minor"/>
      </rPr>
      <t>=</t>
    </r>
  </si>
  <si>
    <r>
      <t>М</t>
    </r>
    <r>
      <rPr>
        <vertAlign val="subscript"/>
        <sz val="16"/>
        <color theme="1"/>
        <rFont val="Calibri"/>
        <family val="2"/>
        <scheme val="minor"/>
      </rPr>
      <t>z ВС-9 - К (Канекс)</t>
    </r>
    <r>
      <rPr>
        <sz val="16"/>
        <color theme="1"/>
        <rFont val="Calibri"/>
        <family val="2"/>
        <scheme val="minor"/>
      </rPr>
      <t>=</t>
    </r>
  </si>
  <si>
    <t>Общая СКО ожидаемая, мм</t>
  </si>
  <si>
    <r>
      <t>М</t>
    </r>
    <r>
      <rPr>
        <vertAlign val="superscript"/>
        <sz val="16"/>
        <color theme="1"/>
        <rFont val="Calibri"/>
        <family val="2"/>
        <charset val="204"/>
        <scheme val="minor"/>
      </rPr>
      <t>2</t>
    </r>
    <r>
      <rPr>
        <vertAlign val="subscript"/>
        <sz val="16"/>
        <color theme="1"/>
        <rFont val="Calibri"/>
        <family val="2"/>
        <scheme val="minor"/>
      </rPr>
      <t>z ож. по высоте</t>
    </r>
    <r>
      <rPr>
        <sz val="16"/>
        <color theme="1"/>
        <rFont val="Calibri"/>
        <family val="2"/>
        <scheme val="minor"/>
      </rPr>
      <t>=</t>
    </r>
  </si>
  <si>
    <t>Сумм</t>
  </si>
  <si>
    <r>
      <t>М</t>
    </r>
    <r>
      <rPr>
        <vertAlign val="superscript"/>
        <sz val="16"/>
        <color theme="1"/>
        <rFont val="Calibri"/>
        <family val="2"/>
        <charset val="204"/>
        <scheme val="minor"/>
      </rPr>
      <t>2</t>
    </r>
    <r>
      <rPr>
        <vertAlign val="subscript"/>
        <sz val="16"/>
        <color theme="1"/>
        <rFont val="Calibri"/>
        <family val="2"/>
        <scheme val="minor"/>
      </rPr>
      <t>х</t>
    </r>
    <r>
      <rPr>
        <sz val="16"/>
        <color theme="1"/>
        <rFont val="Calibri"/>
        <family val="2"/>
        <scheme val="minor"/>
      </rPr>
      <t>=</t>
    </r>
  </si>
  <si>
    <r>
      <t>М</t>
    </r>
    <r>
      <rPr>
        <vertAlign val="subscript"/>
        <sz val="16"/>
        <color theme="1"/>
        <rFont val="Calibri"/>
        <family val="2"/>
        <scheme val="minor"/>
      </rPr>
      <t>х</t>
    </r>
    <r>
      <rPr>
        <sz val="16"/>
        <color theme="1"/>
        <rFont val="Calibri"/>
        <family val="2"/>
        <scheme val="minor"/>
      </rPr>
      <t>=</t>
    </r>
  </si>
  <si>
    <t>Мож=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</si>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</sst>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E+00"/>
    <numFmt numFmtId="166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</font>
    <font>
      <vertAlign val="superscript"/>
      <sz val="11"/>
      <color theme="1"/>
      <name val="Calibri"/>
      <family val="2"/>
      <charset val="204"/>
    </font>
    <font>
      <vertAlign val="superscript"/>
      <sz val="11"/>
      <color theme="1"/>
      <name val="Calibri"/>
      <family val="2"/>
      <charset val="204"/>
      <scheme val="minor"/>
    </font>
    <font>
      <sz val="7.7"/>
      <color theme="1"/>
      <name val="Calibri"/>
      <family val="2"/>
    </font>
    <font>
      <sz val="16"/>
      <color theme="1"/>
      <name val="Calibri"/>
      <family val="2"/>
      <scheme val="minor"/>
    </font>
    <font>
      <vertAlign val="subscript"/>
      <sz val="16"/>
      <color theme="1"/>
      <name val="Calibri"/>
      <family val="2"/>
      <scheme val="minor"/>
    </font>
    <font>
      <vertAlign val="superscript"/>
      <sz val="16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/>
    <xf numFmtId="0" fontId="0" fillId="0" borderId="2" xfId="0" applyBorder="1" applyAlignment="1">
      <alignment horizontal="right"/>
    </xf>
    <xf numFmtId="0" fontId="0" fillId="0" borderId="20" xfId="0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 applyAlignment="1">
      <alignment horizontal="right"/>
    </xf>
    <xf numFmtId="0" fontId="0" fillId="0" borderId="18" xfId="0" applyBorder="1"/>
    <xf numFmtId="0" fontId="0" fillId="0" borderId="19" xfId="0" applyBorder="1"/>
    <xf numFmtId="0" fontId="0" fillId="2" borderId="14" xfId="0" applyFill="1" applyBorder="1" applyAlignment="1">
      <alignment horizontal="right"/>
    </xf>
    <xf numFmtId="0" fontId="0" fillId="2" borderId="15" xfId="0" applyFill="1" applyBorder="1"/>
    <xf numFmtId="0" fontId="0" fillId="2" borderId="2" xfId="0" applyFill="1" applyBorder="1" applyAlignment="1">
      <alignment horizontal="right"/>
    </xf>
    <xf numFmtId="0" fontId="0" fillId="2" borderId="1" xfId="0" applyFill="1" applyBorder="1"/>
    <xf numFmtId="0" fontId="0" fillId="2" borderId="2" xfId="0" quotePrefix="1" applyFill="1" applyBorder="1" applyAlignment="1">
      <alignment horizontal="right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2" borderId="22" xfId="0" applyFill="1" applyBorder="1"/>
    <xf numFmtId="0" fontId="0" fillId="2" borderId="20" xfId="0" applyFill="1" applyBorder="1"/>
    <xf numFmtId="0" fontId="0" fillId="0" borderId="0" xfId="0" applyFont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/>
    <xf numFmtId="0" fontId="0" fillId="2" borderId="0" xfId="0" applyFill="1" applyAlignment="1">
      <alignment vertical="center"/>
    </xf>
    <xf numFmtId="164" fontId="0" fillId="2" borderId="0" xfId="0" applyNumberForma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2" borderId="32" xfId="0" applyFill="1" applyBorder="1" applyAlignment="1">
      <alignment vertical="center"/>
    </xf>
    <xf numFmtId="0" fontId="0" fillId="2" borderId="36" xfId="0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0" fillId="0" borderId="30" xfId="0" applyBorder="1"/>
    <xf numFmtId="1" fontId="0" fillId="0" borderId="1" xfId="0" applyNumberFormat="1" applyBorder="1"/>
    <xf numFmtId="0" fontId="0" fillId="0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/>
    <xf numFmtId="1" fontId="0" fillId="5" borderId="1" xfId="0" applyNumberFormat="1" applyFill="1" applyBorder="1"/>
    <xf numFmtId="0" fontId="0" fillId="0" borderId="20" xfId="0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0" fillId="7" borderId="0" xfId="0" applyFont="1" applyFill="1"/>
    <xf numFmtId="165" fontId="10" fillId="7" borderId="0" xfId="0" applyNumberFormat="1" applyFont="1" applyFill="1"/>
    <xf numFmtId="1" fontId="0" fillId="0" borderId="0" xfId="0" applyNumberFormat="1"/>
    <xf numFmtId="0" fontId="10" fillId="0" borderId="0" xfId="0" applyFont="1"/>
    <xf numFmtId="166" fontId="10" fillId="0" borderId="0" xfId="0" applyNumberFormat="1" applyFont="1"/>
    <xf numFmtId="1" fontId="10" fillId="0" borderId="0" xfId="0" applyNumberFormat="1" applyFont="1"/>
    <xf numFmtId="0" fontId="10" fillId="8" borderId="0" xfId="0" applyFont="1" applyFill="1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164" fontId="0" fillId="0" borderId="0" xfId="0" applyNumberFormat="1"/>
    <xf numFmtId="164" fontId="10" fillId="7" borderId="0" xfId="0" applyNumberFormat="1" applyFont="1" applyFill="1"/>
    <xf numFmtId="164" fontId="0" fillId="7" borderId="0" xfId="0" applyNumberFormat="1" applyFill="1"/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 textRotation="90"/>
    </xf>
    <xf numFmtId="0" fontId="0" fillId="0" borderId="2" xfId="0" applyBorder="1" applyAlignment="1">
      <alignment horizontal="center" vertical="center" textRotation="90"/>
    </xf>
    <xf numFmtId="0" fontId="0" fillId="0" borderId="1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164" fontId="0" fillId="0" borderId="37" xfId="0" applyNumberForma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 vertical="center" textRotation="90"/>
    </xf>
    <xf numFmtId="164" fontId="0" fillId="0" borderId="3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T195"/>
  <sheetViews>
    <sheetView topLeftCell="A139" zoomScale="55" zoomScaleNormal="55" workbookViewId="0">
      <selection activeCell="H200" sqref="H200"/>
    </sheetView>
  </sheetViews>
  <sheetFormatPr defaultRowHeight="14.4" x14ac:dyDescent="0.3"/>
  <cols>
    <col min="1" max="1" width="10.33203125" customWidth="1"/>
    <col min="2" max="2" width="13" customWidth="1"/>
    <col min="3" max="3" width="20.109375" customWidth="1"/>
    <col min="4" max="4" width="13.44140625" customWidth="1"/>
    <col min="5" max="5" width="11.44140625" customWidth="1"/>
    <col min="6" max="6" width="11.33203125" customWidth="1"/>
    <col min="7" max="7" width="12" customWidth="1"/>
    <col min="8" max="8" width="10.5546875" customWidth="1"/>
    <col min="9" max="10" width="9.109375" customWidth="1"/>
    <col min="11" max="11" width="13.109375" customWidth="1"/>
    <col min="12" max="12" width="12" customWidth="1"/>
    <col min="13" max="13" width="16.88671875" customWidth="1"/>
    <col min="14" max="14" width="19.44140625" customWidth="1"/>
    <col min="15" max="16" width="9.109375" customWidth="1"/>
    <col min="17" max="18" width="12" customWidth="1"/>
    <col min="19" max="21" width="9.109375" customWidth="1"/>
    <col min="22" max="23" width="12.5546875" customWidth="1"/>
    <col min="24" max="24" width="9.6640625" bestFit="1" customWidth="1"/>
    <col min="25" max="25" width="8.109375" bestFit="1" customWidth="1"/>
    <col min="26" max="27" width="9.109375" customWidth="1"/>
    <col min="28" max="28" width="12.5546875" customWidth="1"/>
    <col min="29" max="31" width="9.109375" customWidth="1"/>
    <col min="32" max="32" width="13.33203125" customWidth="1"/>
    <col min="33" max="33" width="12.5546875" customWidth="1"/>
    <col min="34" max="35" width="9.109375" customWidth="1"/>
    <col min="45" max="45" width="11.33203125" customWidth="1"/>
    <col min="46" max="46" width="10.109375" customWidth="1"/>
  </cols>
  <sheetData>
    <row r="3" spans="1:46" x14ac:dyDescent="0.3">
      <c r="AT3" t="s">
        <v>191</v>
      </c>
    </row>
    <row r="4" spans="1:46" ht="15.6" x14ac:dyDescent="0.35">
      <c r="B4" s="1" t="s">
        <v>193</v>
      </c>
      <c r="C4" s="1">
        <v>20</v>
      </c>
      <c r="D4" s="52" t="s">
        <v>196</v>
      </c>
      <c r="E4" s="53">
        <v>206265</v>
      </c>
      <c r="F4" s="1" t="s">
        <v>223</v>
      </c>
      <c r="G4" s="1">
        <v>30</v>
      </c>
    </row>
    <row r="5" spans="1:46" ht="16.8" x14ac:dyDescent="0.35">
      <c r="B5" s="1" t="s">
        <v>194</v>
      </c>
      <c r="C5" s="1">
        <f>C4^2</f>
        <v>400</v>
      </c>
      <c r="D5" s="52" t="s">
        <v>195</v>
      </c>
      <c r="E5" s="53">
        <f>E4^2</f>
        <v>42545250225</v>
      </c>
      <c r="F5" s="1" t="s">
        <v>224</v>
      </c>
      <c r="G5" s="1">
        <f>G4^2</f>
        <v>900</v>
      </c>
      <c r="AS5" t="s">
        <v>192</v>
      </c>
      <c r="AT5">
        <f>0+0/60+20/3600</f>
        <v>5.5555555555555558E-3</v>
      </c>
    </row>
    <row r="6" spans="1:46" x14ac:dyDescent="0.3">
      <c r="AS6" t="s">
        <v>222</v>
      </c>
      <c r="AT6">
        <f>0+0/60+30/3600</f>
        <v>8.3333333333333332E-3</v>
      </c>
    </row>
    <row r="8" spans="1:46" ht="15" thickBot="1" x14ac:dyDescent="0.35">
      <c r="A8" s="92" t="s">
        <v>199</v>
      </c>
      <c r="B8" s="92"/>
      <c r="C8" s="92"/>
      <c r="D8" s="93" t="s">
        <v>200</v>
      </c>
      <c r="E8" s="93"/>
      <c r="F8" s="93"/>
      <c r="G8" s="8"/>
      <c r="H8" s="8"/>
      <c r="I8" s="8"/>
      <c r="AC8" s="94" t="s">
        <v>236</v>
      </c>
      <c r="AD8" s="94"/>
      <c r="AE8" s="94"/>
      <c r="AG8" s="95" t="s">
        <v>237</v>
      </c>
      <c r="AH8" s="94"/>
      <c r="AI8" s="94"/>
    </row>
    <row r="9" spans="1:46" ht="16.8" thickBot="1" x14ac:dyDescent="0.35">
      <c r="A9" s="5" t="s">
        <v>19</v>
      </c>
      <c r="B9" s="6" t="s">
        <v>1</v>
      </c>
      <c r="C9" s="7" t="s">
        <v>2</v>
      </c>
      <c r="D9" s="8"/>
      <c r="E9" s="5" t="s">
        <v>1</v>
      </c>
      <c r="F9" s="7" t="s">
        <v>2</v>
      </c>
      <c r="G9" s="8"/>
      <c r="H9" s="8"/>
      <c r="I9" s="8"/>
      <c r="X9" s="96" t="s">
        <v>228</v>
      </c>
      <c r="Y9" s="97"/>
      <c r="Z9" s="67" t="s">
        <v>229</v>
      </c>
      <c r="AA9" s="66" t="s">
        <v>230</v>
      </c>
      <c r="AB9" s="88" t="s">
        <v>231</v>
      </c>
      <c r="AC9" s="53" t="s">
        <v>232</v>
      </c>
      <c r="AD9" s="53" t="s">
        <v>233</v>
      </c>
      <c r="AE9" s="53" t="s">
        <v>234</v>
      </c>
      <c r="AF9" s="74" t="s">
        <v>235</v>
      </c>
      <c r="AG9" s="70" t="s">
        <v>232</v>
      </c>
      <c r="AH9" s="53" t="s">
        <v>233</v>
      </c>
      <c r="AI9" s="53" t="s">
        <v>234</v>
      </c>
      <c r="AJ9" s="70" t="s">
        <v>239</v>
      </c>
      <c r="AK9" s="78" t="s">
        <v>240</v>
      </c>
      <c r="AL9" s="77" t="s">
        <v>238</v>
      </c>
    </row>
    <row r="10" spans="1:46" ht="16.8" thickBot="1" x14ac:dyDescent="0.35">
      <c r="A10" s="21">
        <v>1</v>
      </c>
      <c r="B10" s="22">
        <v>24404.620999999999</v>
      </c>
      <c r="C10" s="33">
        <v>11381.826999999999</v>
      </c>
      <c r="D10" s="98" t="s">
        <v>33</v>
      </c>
      <c r="E10" s="100">
        <f>AVERAGE(B10:B18)</f>
        <v>24011.339888888891</v>
      </c>
      <c r="F10" s="102">
        <f>AVERAGE(C10:C18)</f>
        <v>11350.987666666666</v>
      </c>
      <c r="G10" s="8"/>
      <c r="H10" s="38"/>
      <c r="I10" s="38" t="s">
        <v>35</v>
      </c>
      <c r="J10" s="48" t="s">
        <v>189</v>
      </c>
      <c r="K10" s="48" t="s">
        <v>190</v>
      </c>
      <c r="L10" s="76" t="s">
        <v>219</v>
      </c>
      <c r="S10" s="86" t="s">
        <v>220</v>
      </c>
      <c r="T10" s="86" t="s">
        <v>221</v>
      </c>
      <c r="U10" s="86" t="s">
        <v>225</v>
      </c>
      <c r="V10" s="61" t="s">
        <v>226</v>
      </c>
      <c r="W10" s="75" t="s">
        <v>227</v>
      </c>
      <c r="X10" s="104">
        <f>SQRT((B10-B11)^2+(C10-C11)^2)</f>
        <v>80.000444423764108</v>
      </c>
      <c r="Y10" s="65"/>
      <c r="Z10" s="68">
        <f>B11-B10</f>
        <v>-76.061999999998079</v>
      </c>
      <c r="AA10" s="1">
        <f>C11-C10</f>
        <v>24.792000000001281</v>
      </c>
      <c r="AB10" s="10">
        <f>ABS(AA10/Z10)</f>
        <v>0.32594462412245151</v>
      </c>
      <c r="AC10" s="1">
        <f>ATAN(AB10)</f>
        <v>0.31508604191618145</v>
      </c>
      <c r="AD10" s="1">
        <f>TRUNC(DEGREES(AC10))</f>
        <v>18</v>
      </c>
      <c r="AE10" s="69">
        <f>(DEGREES(AC10)-AD10)*60</f>
        <v>3.1860231167608077</v>
      </c>
      <c r="AF10" s="71" t="str">
        <f>IF(AND(Z10&gt;0, AA10&gt;0),"СВ", IF(AND(Z10&lt;0, AA10&gt;0), "ЮВ", IF(AND(Z10&lt;0, AA10&lt;0), "ЮЗ", IF(AND(Z10&gt;0, AA10&lt;0), "СЗ"))))</f>
        <v>ЮВ</v>
      </c>
      <c r="AG10" s="1">
        <f>IF( AF10 = "СВ", AC10, IF(AF10="ЮВ", PI()-AC10, IF(AF10="ЮЗ", PI()+AC10, IF(AF10="СЗ", 2*PI()-AC10, ""))))</f>
        <v>2.8265066116736115</v>
      </c>
      <c r="AH10" s="72">
        <f>TRUNC(DEGREES(AG10))</f>
        <v>161</v>
      </c>
      <c r="AI10" s="73">
        <f>(DEGREES(AG10)-AH10)*60</f>
        <v>56.813976883238979</v>
      </c>
      <c r="AJ10" s="1">
        <f>((1+COS(2*(AH10)))/2)*X10</f>
        <v>40.530089376258715</v>
      </c>
      <c r="AK10" s="111">
        <f>SUM(AJ10:AJ144)</f>
        <v>5307.7933841883996</v>
      </c>
      <c r="AL10" s="112">
        <f>(1/2)*((0.001^2)*AK10)</f>
        <v>2.6538966920941999E-3</v>
      </c>
    </row>
    <row r="11" spans="1:46" x14ac:dyDescent="0.3">
      <c r="A11" s="15">
        <v>2</v>
      </c>
      <c r="B11" s="13">
        <v>24328.559000000001</v>
      </c>
      <c r="C11" s="34">
        <v>11406.619000000001</v>
      </c>
      <c r="D11" s="99"/>
      <c r="E11" s="101"/>
      <c r="F11" s="103"/>
      <c r="G11" s="115" t="s">
        <v>18</v>
      </c>
      <c r="H11" s="14" t="s">
        <v>36</v>
      </c>
      <c r="I11" s="44">
        <v>55.631</v>
      </c>
      <c r="J11" s="118">
        <f>SUM(I11:I17)</f>
        <v>674.31100000000015</v>
      </c>
      <c r="K11" s="120">
        <f>J11^2</f>
        <v>454695.32472100022</v>
      </c>
      <c r="L11" s="112">
        <f>(1/E5)*((C5*K11)+(C5*K18)+(C5*K33)+(C5*K44)+(C5*K51)+(C5*K59)+(C5*K75)+(C5*K94)+(C5*K124))</f>
        <v>0.44565603490601169</v>
      </c>
      <c r="M11" s="56"/>
      <c r="N11" s="56"/>
      <c r="O11" s="56"/>
      <c r="P11" s="56"/>
      <c r="Q11" s="56"/>
      <c r="R11" s="56"/>
      <c r="S11" s="118">
        <v>708.303</v>
      </c>
      <c r="T11" s="118">
        <f>S11^2</f>
        <v>501693.13980900001</v>
      </c>
      <c r="U11" s="118">
        <f>G5*T11</f>
        <v>451523825.82810003</v>
      </c>
      <c r="V11" s="118">
        <f>SUM(U11:U145)</f>
        <v>2686799645.8506002</v>
      </c>
      <c r="W11" s="106">
        <f>(1/E5)*V11</f>
        <v>6.3151577006634013E-2</v>
      </c>
      <c r="X11" s="105"/>
      <c r="Y11" s="109">
        <f>SQRT((B11-B12)^2+(C11-C12)^2)</f>
        <v>130.04107616441883</v>
      </c>
      <c r="Z11" s="68">
        <f t="shared" ref="Z11:AA74" si="0">B12-B11</f>
        <v>-123.96900000000096</v>
      </c>
      <c r="AA11" s="1">
        <f t="shared" si="0"/>
        <v>39.272999999999229</v>
      </c>
      <c r="AB11" s="10">
        <f t="shared" ref="AB11:AB74" si="1">ABS(AA11/Z11)</f>
        <v>0.3167969411707679</v>
      </c>
      <c r="AC11" s="1">
        <f t="shared" ref="AC11:AC74" si="2">ATAN(AB11)</f>
        <v>0.30679471642997935</v>
      </c>
      <c r="AD11" s="1">
        <f t="shared" ref="AD11:AD74" si="3">TRUNC(DEGREES(AC11))</f>
        <v>17</v>
      </c>
      <c r="AE11" s="69">
        <f t="shared" ref="AE11:AE74" si="4">(DEGREES(AC11)-AD11)*60</f>
        <v>34.682545701042784</v>
      </c>
      <c r="AF11" s="71" t="str">
        <f t="shared" ref="AF11:AF74" si="5">IF(AND(Z11&gt;0, AA11&gt;0),"СВ", IF(AND(Z11&lt;0, AA11&gt;0), "ЮВ", IF(AND(Z11&lt;0, AA11&lt;0), "ЮЗ", IF(AND(Z11&gt;0, AA11&lt;0), "СЗ"))))</f>
        <v>ЮВ</v>
      </c>
      <c r="AG11" s="1">
        <f t="shared" ref="AG11:AG74" si="6">IF( AF11 = "СВ", AC11, IF(AF11="ЮВ", PI()-AC11, IF(AF11="ЮЗ", PI()+AC11, IF(AF11="СЗ", 2*PI()-AC11, ""))))</f>
        <v>2.8347979371598138</v>
      </c>
      <c r="AH11" s="72">
        <f t="shared" ref="AH11:AH74" si="7">TRUNC(DEGREES(AG11))</f>
        <v>162</v>
      </c>
      <c r="AI11" s="73">
        <f t="shared" ref="AI11:AI74" si="8">(DEGREES(AG11)-AH11)*60</f>
        <v>25.317454298958069</v>
      </c>
      <c r="AJ11" s="1">
        <f>((1+COS(2*(AH11)))/2)*Y11</f>
        <v>5.5442897128161608</v>
      </c>
      <c r="AK11" s="111"/>
      <c r="AL11" s="113"/>
    </row>
    <row r="12" spans="1:46" x14ac:dyDescent="0.3">
      <c r="A12" s="16">
        <v>3</v>
      </c>
      <c r="B12" s="12">
        <v>24204.59</v>
      </c>
      <c r="C12" s="35">
        <v>11445.892</v>
      </c>
      <c r="D12" s="99"/>
      <c r="E12" s="101"/>
      <c r="F12" s="103"/>
      <c r="G12" s="116"/>
      <c r="H12" s="12" t="s">
        <v>37</v>
      </c>
      <c r="I12" s="45">
        <v>94.903999999999996</v>
      </c>
      <c r="J12" s="119"/>
      <c r="K12" s="121"/>
      <c r="L12" s="113"/>
      <c r="M12" s="56"/>
      <c r="N12" s="56"/>
      <c r="O12" s="56"/>
      <c r="P12" s="56"/>
      <c r="Q12" s="56"/>
      <c r="R12" s="56"/>
      <c r="S12" s="119"/>
      <c r="T12" s="119"/>
      <c r="U12" s="119"/>
      <c r="V12" s="119"/>
      <c r="W12" s="107"/>
      <c r="X12" s="110">
        <f t="shared" ref="X12" si="9">SQRT((B12-B13)^2+(C12-C13)^2)</f>
        <v>125.7986591740961</v>
      </c>
      <c r="Y12" s="109"/>
      <c r="Z12" s="68">
        <f t="shared" si="0"/>
        <v>-119.29500000000189</v>
      </c>
      <c r="AA12" s="1">
        <f t="shared" si="0"/>
        <v>39.924999999999272</v>
      </c>
      <c r="AB12" s="10">
        <f t="shared" si="1"/>
        <v>0.33467454629279214</v>
      </c>
      <c r="AC12" s="1">
        <f t="shared" si="2"/>
        <v>0.32295715997984115</v>
      </c>
      <c r="AD12" s="1">
        <f t="shared" si="3"/>
        <v>18</v>
      </c>
      <c r="AE12" s="69">
        <f t="shared" si="4"/>
        <v>30.244933822574041</v>
      </c>
      <c r="AF12" s="71" t="str">
        <f t="shared" si="5"/>
        <v>ЮВ</v>
      </c>
      <c r="AG12" s="1">
        <f t="shared" si="6"/>
        <v>2.818635493609952</v>
      </c>
      <c r="AH12" s="72">
        <f t="shared" si="7"/>
        <v>161</v>
      </c>
      <c r="AI12" s="73">
        <f t="shared" si="8"/>
        <v>29.755066177425533</v>
      </c>
      <c r="AJ12" s="1">
        <f>((1+COS(2*(AH12)))/2)*X12</f>
        <v>63.732532193597123</v>
      </c>
      <c r="AK12" s="111"/>
      <c r="AL12" s="113"/>
    </row>
    <row r="13" spans="1:46" x14ac:dyDescent="0.3">
      <c r="A13" s="16">
        <v>4</v>
      </c>
      <c r="B13" s="12">
        <v>24085.294999999998</v>
      </c>
      <c r="C13" s="35">
        <v>11485.816999999999</v>
      </c>
      <c r="D13" s="99"/>
      <c r="E13" s="101"/>
      <c r="F13" s="103"/>
      <c r="G13" s="116"/>
      <c r="H13" s="12" t="s">
        <v>38</v>
      </c>
      <c r="I13" s="45">
        <v>134.82900000000001</v>
      </c>
      <c r="J13" s="119"/>
      <c r="K13" s="121"/>
      <c r="L13" s="113"/>
      <c r="M13" s="56"/>
      <c r="N13" s="56"/>
      <c r="O13" s="56"/>
      <c r="P13" s="56"/>
      <c r="Q13" s="56"/>
      <c r="R13" s="56"/>
      <c r="S13" s="119"/>
      <c r="T13" s="119"/>
      <c r="U13" s="119"/>
      <c r="V13" s="119"/>
      <c r="W13" s="107"/>
      <c r="X13" s="105"/>
      <c r="Y13" s="109">
        <f t="shared" ref="Y13" si="10">SQRT((B13-B14)^2+(C13-C14)^2)</f>
        <v>49.520530338436117</v>
      </c>
      <c r="Z13" s="68">
        <f t="shared" si="0"/>
        <v>-43.356999999999971</v>
      </c>
      <c r="AA13" s="1">
        <f t="shared" si="0"/>
        <v>-23.925999999999476</v>
      </c>
      <c r="AB13" s="10">
        <f t="shared" si="1"/>
        <v>0.55183707359825385</v>
      </c>
      <c r="AC13" s="1">
        <f t="shared" si="2"/>
        <v>0.50425253792318447</v>
      </c>
      <c r="AD13" s="1">
        <f t="shared" si="3"/>
        <v>28</v>
      </c>
      <c r="AE13" s="69">
        <f t="shared" si="4"/>
        <v>53.492533905537698</v>
      </c>
      <c r="AF13" s="71" t="str">
        <f t="shared" si="5"/>
        <v>ЮЗ</v>
      </c>
      <c r="AG13" s="1">
        <f t="shared" si="6"/>
        <v>3.6458451915129775</v>
      </c>
      <c r="AH13" s="72">
        <f t="shared" si="7"/>
        <v>208</v>
      </c>
      <c r="AI13" s="73">
        <f t="shared" si="8"/>
        <v>53.492533905537698</v>
      </c>
      <c r="AJ13" s="1">
        <f>((1+COS(2*(AH13)))/2)*Y13</f>
        <v>31.150209019665233</v>
      </c>
      <c r="AK13" s="111"/>
      <c r="AL13" s="113"/>
    </row>
    <row r="14" spans="1:46" x14ac:dyDescent="0.3">
      <c r="A14" s="16">
        <v>5</v>
      </c>
      <c r="B14" s="12">
        <v>24041.937999999998</v>
      </c>
      <c r="C14" s="35">
        <v>11461.891</v>
      </c>
      <c r="D14" s="99"/>
      <c r="E14" s="101"/>
      <c r="F14" s="103"/>
      <c r="G14" s="116"/>
      <c r="H14" s="12" t="s">
        <v>39</v>
      </c>
      <c r="I14" s="45">
        <v>110.90300000000001</v>
      </c>
      <c r="J14" s="119"/>
      <c r="K14" s="121"/>
      <c r="L14" s="113"/>
      <c r="M14" s="56"/>
      <c r="N14" s="56"/>
      <c r="O14" s="56"/>
      <c r="P14" s="56"/>
      <c r="Q14" s="56"/>
      <c r="R14" s="56"/>
      <c r="S14" s="119"/>
      <c r="T14" s="119"/>
      <c r="U14" s="119"/>
      <c r="V14" s="119"/>
      <c r="W14" s="107"/>
      <c r="X14" s="110">
        <f t="shared" ref="X14" si="11">SQRT((B14-B15)^2+(C14-C15)^2)</f>
        <v>119.43476430671177</v>
      </c>
      <c r="Y14" s="109"/>
      <c r="Z14" s="68">
        <f t="shared" si="0"/>
        <v>-100.22599999999875</v>
      </c>
      <c r="AA14" s="1">
        <f t="shared" si="0"/>
        <v>-64.957000000000335</v>
      </c>
      <c r="AB14" s="10">
        <f t="shared" si="1"/>
        <v>0.64810528206255014</v>
      </c>
      <c r="AC14" s="1">
        <f t="shared" si="2"/>
        <v>0.57504210379876675</v>
      </c>
      <c r="AD14" s="1">
        <f t="shared" si="3"/>
        <v>32</v>
      </c>
      <c r="AE14" s="69">
        <f t="shared" si="4"/>
        <v>56.849135399588135</v>
      </c>
      <c r="AF14" s="71" t="str">
        <f t="shared" si="5"/>
        <v>ЮЗ</v>
      </c>
      <c r="AG14" s="1">
        <f t="shared" si="6"/>
        <v>3.7166347573885599</v>
      </c>
      <c r="AH14" s="72">
        <f t="shared" si="7"/>
        <v>212</v>
      </c>
      <c r="AI14" s="73">
        <f t="shared" si="8"/>
        <v>56.849135399588135</v>
      </c>
      <c r="AJ14" s="1">
        <f>((1+COS(2*(AH14)))/2)*X14</f>
        <v>0.39450261801714204</v>
      </c>
      <c r="AK14" s="111"/>
      <c r="AL14" s="113"/>
    </row>
    <row r="15" spans="1:46" x14ac:dyDescent="0.3">
      <c r="A15" s="16">
        <v>6</v>
      </c>
      <c r="B15" s="12">
        <v>23941.712</v>
      </c>
      <c r="C15" s="35">
        <v>11396.933999999999</v>
      </c>
      <c r="D15" s="99"/>
      <c r="E15" s="101"/>
      <c r="F15" s="103"/>
      <c r="G15" s="116"/>
      <c r="H15" s="12" t="s">
        <v>40</v>
      </c>
      <c r="I15" s="45">
        <v>45.945999999999998</v>
      </c>
      <c r="J15" s="119"/>
      <c r="K15" s="121"/>
      <c r="L15" s="113"/>
      <c r="M15" s="56"/>
      <c r="N15" s="56"/>
      <c r="O15" s="56"/>
      <c r="P15" s="56"/>
      <c r="Q15" s="56"/>
      <c r="R15" s="56"/>
      <c r="S15" s="119"/>
      <c r="T15" s="119"/>
      <c r="U15" s="119"/>
      <c r="V15" s="119"/>
      <c r="W15" s="107"/>
      <c r="X15" s="105"/>
      <c r="Y15" s="109">
        <f t="shared" ref="Y15" si="12">SQRT((B15-B16)^2+(C15-C16)^2)</f>
        <v>177.05761804000255</v>
      </c>
      <c r="Z15" s="68">
        <f t="shared" si="0"/>
        <v>-148.45499999999811</v>
      </c>
      <c r="AA15" s="1">
        <f t="shared" si="0"/>
        <v>-96.490999999999985</v>
      </c>
      <c r="AB15" s="10">
        <f t="shared" si="1"/>
        <v>0.64996800377219499</v>
      </c>
      <c r="AC15" s="1">
        <f t="shared" si="2"/>
        <v>0.57635272730780596</v>
      </c>
      <c r="AD15" s="1">
        <f t="shared" si="3"/>
        <v>33</v>
      </c>
      <c r="AE15" s="69">
        <f t="shared" si="4"/>
        <v>1.3547271355027135</v>
      </c>
      <c r="AF15" s="71" t="str">
        <f t="shared" si="5"/>
        <v>ЮЗ</v>
      </c>
      <c r="AG15" s="1">
        <f t="shared" si="6"/>
        <v>3.7179453808975991</v>
      </c>
      <c r="AH15" s="72">
        <f t="shared" si="7"/>
        <v>213</v>
      </c>
      <c r="AI15" s="73">
        <f t="shared" si="8"/>
        <v>1.3547271355031398</v>
      </c>
      <c r="AJ15" s="1">
        <f>((1+COS(2*(AH15)))/2)*Y15</f>
        <v>115.88876111823581</v>
      </c>
      <c r="AK15" s="111"/>
      <c r="AL15" s="113"/>
    </row>
    <row r="16" spans="1:46" x14ac:dyDescent="0.3">
      <c r="A16" s="16">
        <v>7</v>
      </c>
      <c r="B16" s="12">
        <v>23793.257000000001</v>
      </c>
      <c r="C16" s="35">
        <v>11300.442999999999</v>
      </c>
      <c r="D16" s="99"/>
      <c r="E16" s="101"/>
      <c r="F16" s="103"/>
      <c r="G16" s="116"/>
      <c r="H16" s="12" t="s">
        <v>41</v>
      </c>
      <c r="I16" s="45">
        <v>50.545000000000002</v>
      </c>
      <c r="J16" s="119"/>
      <c r="K16" s="121"/>
      <c r="L16" s="113"/>
      <c r="M16" s="56"/>
      <c r="N16" s="56"/>
      <c r="O16" s="56"/>
      <c r="P16" s="56"/>
      <c r="Q16" s="56"/>
      <c r="R16" s="56"/>
      <c r="S16" s="119"/>
      <c r="T16" s="119"/>
      <c r="U16" s="119"/>
      <c r="V16" s="119"/>
      <c r="W16" s="107"/>
      <c r="X16" s="110">
        <f t="shared" ref="X16" si="13">SQRT((B16-B17)^2+(C16-C17)^2)</f>
        <v>174.60049870490198</v>
      </c>
      <c r="Y16" s="109"/>
      <c r="Z16" s="68">
        <f t="shared" si="0"/>
        <v>-115.4220000000023</v>
      </c>
      <c r="AA16" s="1">
        <f t="shared" si="0"/>
        <v>-131.00799999999981</v>
      </c>
      <c r="AB16" s="10">
        <f t="shared" si="1"/>
        <v>1.1350349153540678</v>
      </c>
      <c r="AC16" s="1">
        <f t="shared" si="2"/>
        <v>0.84856120094419252</v>
      </c>
      <c r="AD16" s="1">
        <f t="shared" si="3"/>
        <v>48</v>
      </c>
      <c r="AE16" s="69">
        <f t="shared" si="4"/>
        <v>37.138528359287761</v>
      </c>
      <c r="AF16" s="71" t="str">
        <f t="shared" si="5"/>
        <v>ЮЗ</v>
      </c>
      <c r="AG16" s="1">
        <f t="shared" si="6"/>
        <v>3.9901538545339856</v>
      </c>
      <c r="AH16" s="72">
        <f t="shared" si="7"/>
        <v>228</v>
      </c>
      <c r="AI16" s="73">
        <f t="shared" si="8"/>
        <v>37.138528359287761</v>
      </c>
      <c r="AJ16" s="1">
        <f>((1+COS(2*(AH16)))/2)*X16</f>
        <v>9.4291913871096877</v>
      </c>
      <c r="AK16" s="111"/>
      <c r="AL16" s="113"/>
    </row>
    <row r="17" spans="1:38" ht="15" thickBot="1" x14ac:dyDescent="0.35">
      <c r="A17" s="15">
        <v>8</v>
      </c>
      <c r="B17" s="13">
        <v>23677.834999999999</v>
      </c>
      <c r="C17" s="34">
        <v>11169.434999999999</v>
      </c>
      <c r="D17" s="99"/>
      <c r="E17" s="101"/>
      <c r="F17" s="103"/>
      <c r="G17" s="117"/>
      <c r="H17" s="39" t="s">
        <v>42</v>
      </c>
      <c r="I17" s="46">
        <v>181.553</v>
      </c>
      <c r="J17" s="119"/>
      <c r="K17" s="122"/>
      <c r="L17" s="113"/>
      <c r="M17" s="56"/>
      <c r="N17" s="56"/>
      <c r="O17" s="56"/>
      <c r="P17" s="56"/>
      <c r="Q17" s="56"/>
      <c r="R17" s="56"/>
      <c r="S17" s="119"/>
      <c r="T17" s="119"/>
      <c r="U17" s="119"/>
      <c r="V17" s="119"/>
      <c r="W17" s="107"/>
      <c r="X17" s="105"/>
      <c r="Y17" s="109">
        <f t="shared" ref="Y17" si="14">SQRT((B17-B18)^2+(C17-C18)^2)</f>
        <v>79.999831906071535</v>
      </c>
      <c r="Z17" s="68">
        <f t="shared" si="0"/>
        <v>-53.582999999998719</v>
      </c>
      <c r="AA17" s="1">
        <f t="shared" si="0"/>
        <v>-59.403999999998632</v>
      </c>
      <c r="AB17" s="10">
        <f t="shared" si="1"/>
        <v>1.1086352014631515</v>
      </c>
      <c r="AC17" s="1">
        <f t="shared" si="2"/>
        <v>0.83687185593658941</v>
      </c>
      <c r="AD17" s="1">
        <f t="shared" si="3"/>
        <v>47</v>
      </c>
      <c r="AE17" s="69">
        <f t="shared" si="4"/>
        <v>56.953520306809367</v>
      </c>
      <c r="AF17" s="71" t="str">
        <f t="shared" si="5"/>
        <v>ЮЗ</v>
      </c>
      <c r="AG17" s="1">
        <f t="shared" si="6"/>
        <v>3.9784645095263826</v>
      </c>
      <c r="AH17" s="72">
        <f t="shared" si="7"/>
        <v>227</v>
      </c>
      <c r="AI17" s="73">
        <f t="shared" si="8"/>
        <v>56.953520306810219</v>
      </c>
      <c r="AJ17" s="1">
        <f>((1+COS(2*(AH17)))/2)*Y17</f>
        <v>38.405879269633985</v>
      </c>
      <c r="AK17" s="111"/>
      <c r="AL17" s="113"/>
    </row>
    <row r="18" spans="1:38" x14ac:dyDescent="0.3">
      <c r="A18" s="15">
        <v>9</v>
      </c>
      <c r="B18" s="13">
        <v>23624.252</v>
      </c>
      <c r="C18" s="34">
        <v>11110.031000000001</v>
      </c>
      <c r="D18" s="99"/>
      <c r="E18" s="101"/>
      <c r="F18" s="103"/>
      <c r="G18" s="115" t="s">
        <v>43</v>
      </c>
      <c r="H18" s="41" t="s">
        <v>44</v>
      </c>
      <c r="I18" s="44">
        <v>467.346</v>
      </c>
      <c r="J18" s="118">
        <f>SUM(I18:I32)</f>
        <v>2499.0659999999998</v>
      </c>
      <c r="K18" s="120">
        <f>J18^2</f>
        <v>6245330.8723559994</v>
      </c>
      <c r="L18" s="113"/>
      <c r="M18" s="56"/>
      <c r="N18" s="56"/>
      <c r="O18" s="56"/>
      <c r="P18" s="56"/>
      <c r="Q18" s="56"/>
      <c r="R18" s="56"/>
      <c r="S18" s="119"/>
      <c r="T18" s="119"/>
      <c r="U18" s="119"/>
      <c r="V18" s="119"/>
      <c r="W18" s="107"/>
      <c r="X18" s="110">
        <f t="shared" ref="X18" si="15">SQRT((B18-B19)^2+(C18-C19)^2)</f>
        <v>182.81433149783513</v>
      </c>
      <c r="Y18" s="109"/>
      <c r="Z18" s="68">
        <f t="shared" si="0"/>
        <v>-122.89900000000125</v>
      </c>
      <c r="AA18" s="1">
        <f t="shared" si="0"/>
        <v>-135.34000000000015</v>
      </c>
      <c r="AB18" s="10">
        <f t="shared" si="1"/>
        <v>1.1012294648451066</v>
      </c>
      <c r="AC18" s="1">
        <f t="shared" si="2"/>
        <v>0.83353724531995499</v>
      </c>
      <c r="AD18" s="1">
        <f t="shared" si="3"/>
        <v>47</v>
      </c>
      <c r="AE18" s="69">
        <f t="shared" si="4"/>
        <v>45.48997342764892</v>
      </c>
      <c r="AF18" s="71" t="str">
        <f t="shared" si="5"/>
        <v>ЮЗ</v>
      </c>
      <c r="AG18" s="1">
        <f t="shared" si="6"/>
        <v>3.9751298989097483</v>
      </c>
      <c r="AH18" s="72">
        <f t="shared" si="7"/>
        <v>227</v>
      </c>
      <c r="AI18" s="73">
        <f t="shared" si="8"/>
        <v>45.489973427650625</v>
      </c>
      <c r="AJ18" s="1">
        <f>((1+COS(2*(AH18)))/2)*X18</f>
        <v>87.764498711800869</v>
      </c>
      <c r="AK18" s="111"/>
      <c r="AL18" s="113"/>
    </row>
    <row r="19" spans="1:38" x14ac:dyDescent="0.3">
      <c r="A19" s="16">
        <v>10</v>
      </c>
      <c r="B19" s="12">
        <v>23501.352999999999</v>
      </c>
      <c r="C19" s="35">
        <v>10974.691000000001</v>
      </c>
      <c r="D19" s="99" t="s">
        <v>9</v>
      </c>
      <c r="E19" s="101">
        <f>AVERAGE(B17:B33)</f>
        <v>23212.941647058822</v>
      </c>
      <c r="F19" s="103">
        <f>AVERAGE(C17:C33)</f>
        <v>10642.685235294119</v>
      </c>
      <c r="G19" s="116"/>
      <c r="H19" s="40" t="s">
        <v>45</v>
      </c>
      <c r="I19" s="45">
        <v>332.00599999999997</v>
      </c>
      <c r="J19" s="119"/>
      <c r="K19" s="121"/>
      <c r="L19" s="113"/>
      <c r="M19" s="56"/>
      <c r="N19" s="56"/>
      <c r="O19" s="56"/>
      <c r="P19" s="56"/>
      <c r="Q19" s="56"/>
      <c r="R19" s="56"/>
      <c r="S19" s="119"/>
      <c r="T19" s="119"/>
      <c r="U19" s="119"/>
      <c r="V19" s="119"/>
      <c r="W19" s="107"/>
      <c r="X19" s="105"/>
      <c r="Y19" s="109">
        <f t="shared" ref="Y19" si="16">SQRT((B19-B20)^2+(C19-C20)^2)</f>
        <v>198.89267292939635</v>
      </c>
      <c r="Z19" s="68">
        <f t="shared" si="0"/>
        <v>-134.22799999999916</v>
      </c>
      <c r="AA19" s="1">
        <f t="shared" si="0"/>
        <v>-146.76900000000023</v>
      </c>
      <c r="AB19" s="10">
        <f t="shared" si="1"/>
        <v>1.0934305808028217</v>
      </c>
      <c r="AC19" s="1">
        <f t="shared" si="2"/>
        <v>0.8299989358509573</v>
      </c>
      <c r="AD19" s="1">
        <f t="shared" si="3"/>
        <v>47</v>
      </c>
      <c r="AE19" s="69">
        <f t="shared" si="4"/>
        <v>33.32616147656438</v>
      </c>
      <c r="AF19" s="71" t="str">
        <f t="shared" si="5"/>
        <v>ЮЗ</v>
      </c>
      <c r="AG19" s="1">
        <f t="shared" si="6"/>
        <v>3.9715915894407505</v>
      </c>
      <c r="AH19" s="72">
        <f t="shared" si="7"/>
        <v>227</v>
      </c>
      <c r="AI19" s="73">
        <f t="shared" si="8"/>
        <v>33.32616147656438</v>
      </c>
      <c r="AJ19" s="1">
        <f>((1+COS(2*(AH19)))/2)*Y19</f>
        <v>95.483300428803346</v>
      </c>
      <c r="AK19" s="111"/>
      <c r="AL19" s="113"/>
    </row>
    <row r="20" spans="1:38" x14ac:dyDescent="0.3">
      <c r="A20" s="16">
        <v>11</v>
      </c>
      <c r="B20" s="12">
        <v>23367.125</v>
      </c>
      <c r="C20" s="35">
        <v>10827.922</v>
      </c>
      <c r="D20" s="99"/>
      <c r="E20" s="101"/>
      <c r="F20" s="103"/>
      <c r="G20" s="116"/>
      <c r="H20" s="40" t="s">
        <v>46</v>
      </c>
      <c r="I20" s="45">
        <v>185.23699999999999</v>
      </c>
      <c r="J20" s="119"/>
      <c r="K20" s="121"/>
      <c r="L20" s="113"/>
      <c r="M20" s="56"/>
      <c r="N20" s="56"/>
      <c r="O20" s="56"/>
      <c r="P20" s="56"/>
      <c r="Q20" s="56"/>
      <c r="R20" s="56"/>
      <c r="S20" s="119"/>
      <c r="T20" s="119"/>
      <c r="U20" s="119"/>
      <c r="V20" s="119"/>
      <c r="W20" s="107"/>
      <c r="X20" s="110">
        <f t="shared" ref="X20" si="17">SQRT((B20-B21)^2+(C20-C21)^2)</f>
        <v>160.960341155826</v>
      </c>
      <c r="Y20" s="109"/>
      <c r="Z20" s="68">
        <f t="shared" si="0"/>
        <v>-107.87299999999959</v>
      </c>
      <c r="AA20" s="1">
        <f t="shared" si="0"/>
        <v>-119.46399999999994</v>
      </c>
      <c r="AB20" s="10">
        <f t="shared" si="1"/>
        <v>1.1074504278179007</v>
      </c>
      <c r="AC20" s="1">
        <f t="shared" si="2"/>
        <v>0.8363400327975109</v>
      </c>
      <c r="AD20" s="1">
        <f t="shared" si="3"/>
        <v>47</v>
      </c>
      <c r="AE20" s="69">
        <f t="shared" si="4"/>
        <v>55.125247027813202</v>
      </c>
      <c r="AF20" s="71" t="str">
        <f t="shared" si="5"/>
        <v>ЮЗ</v>
      </c>
      <c r="AG20" s="1">
        <f t="shared" si="6"/>
        <v>3.9779326863873039</v>
      </c>
      <c r="AH20" s="72">
        <f t="shared" si="7"/>
        <v>227</v>
      </c>
      <c r="AI20" s="73">
        <f t="shared" si="8"/>
        <v>55.125247027813202</v>
      </c>
      <c r="AJ20" s="1">
        <f>((1+COS(2*(AH20)))/2)*X20</f>
        <v>77.272955234304519</v>
      </c>
      <c r="AK20" s="111"/>
      <c r="AL20" s="113"/>
    </row>
    <row r="21" spans="1:38" x14ac:dyDescent="0.3">
      <c r="A21" s="16">
        <v>12</v>
      </c>
      <c r="B21" s="12">
        <v>23259.252</v>
      </c>
      <c r="C21" s="35">
        <v>10708.458000000001</v>
      </c>
      <c r="D21" s="99"/>
      <c r="E21" s="101"/>
      <c r="F21" s="103"/>
      <c r="G21" s="116"/>
      <c r="H21" s="40" t="s">
        <v>47</v>
      </c>
      <c r="I21" s="45">
        <v>65.772999999999996</v>
      </c>
      <c r="J21" s="119"/>
      <c r="K21" s="121"/>
      <c r="L21" s="113"/>
      <c r="M21" s="56"/>
      <c r="N21" s="56"/>
      <c r="O21" s="56"/>
      <c r="P21" s="56"/>
      <c r="Q21" s="56"/>
      <c r="R21" s="56"/>
      <c r="S21" s="119"/>
      <c r="T21" s="119"/>
      <c r="U21" s="119"/>
      <c r="V21" s="119"/>
      <c r="W21" s="107"/>
      <c r="X21" s="105"/>
      <c r="Y21" s="109">
        <f t="shared" ref="Y21" si="18">SQRT((B21-B22)^2+(C21-C22)^2)</f>
        <v>202.04094577585028</v>
      </c>
      <c r="Z21" s="68">
        <f t="shared" si="0"/>
        <v>-134.28299999999945</v>
      </c>
      <c r="AA21" s="1">
        <f t="shared" si="0"/>
        <v>-150.95900000000074</v>
      </c>
      <c r="AB21" s="10">
        <f t="shared" si="1"/>
        <v>1.124185488855636</v>
      </c>
      <c r="AC21" s="1">
        <f t="shared" si="2"/>
        <v>0.84379433230063006</v>
      </c>
      <c r="AD21" s="1">
        <f t="shared" si="3"/>
        <v>48</v>
      </c>
      <c r="AE21" s="69">
        <f t="shared" si="4"/>
        <v>20.751241073124902</v>
      </c>
      <c r="AF21" s="71" t="str">
        <f t="shared" si="5"/>
        <v>ЮЗ</v>
      </c>
      <c r="AG21" s="1">
        <f t="shared" si="6"/>
        <v>3.9853869858904232</v>
      </c>
      <c r="AH21" s="72">
        <f t="shared" si="7"/>
        <v>228</v>
      </c>
      <c r="AI21" s="73">
        <f t="shared" si="8"/>
        <v>20.751241073124902</v>
      </c>
      <c r="AJ21" s="1">
        <f>((1+COS(2*(AH21)))/2)*Y21</f>
        <v>10.911095672028898</v>
      </c>
      <c r="AK21" s="111"/>
      <c r="AL21" s="113"/>
    </row>
    <row r="22" spans="1:38" x14ac:dyDescent="0.3">
      <c r="A22" s="16">
        <v>13</v>
      </c>
      <c r="B22" s="12">
        <v>23124.969000000001</v>
      </c>
      <c r="C22" s="35">
        <v>10557.499</v>
      </c>
      <c r="D22" s="99"/>
      <c r="E22" s="101"/>
      <c r="F22" s="103"/>
      <c r="G22" s="116"/>
      <c r="H22" s="40" t="s">
        <v>48</v>
      </c>
      <c r="I22" s="45">
        <v>85.186000000000007</v>
      </c>
      <c r="J22" s="119"/>
      <c r="K22" s="121"/>
      <c r="L22" s="113"/>
      <c r="M22" s="56"/>
      <c r="N22" s="56"/>
      <c r="O22" s="56"/>
      <c r="P22" s="56"/>
      <c r="Q22" s="56"/>
      <c r="R22" s="56"/>
      <c r="S22" s="119"/>
      <c r="T22" s="119"/>
      <c r="U22" s="119"/>
      <c r="V22" s="119"/>
      <c r="W22" s="107"/>
      <c r="X22" s="110">
        <f t="shared" ref="X22" si="19">SQRT((B22-B23)^2+(C22-C23)^2)</f>
        <v>17.724958138171392</v>
      </c>
      <c r="Y22" s="109"/>
      <c r="Z22" s="68">
        <f t="shared" si="0"/>
        <v>17.578999999997905</v>
      </c>
      <c r="AA22" s="1">
        <f t="shared" si="0"/>
        <v>2.2700000000004366</v>
      </c>
      <c r="AB22" s="10">
        <f t="shared" si="1"/>
        <v>0.12913134990617822</v>
      </c>
      <c r="AC22" s="1">
        <f t="shared" si="2"/>
        <v>0.12842069550760724</v>
      </c>
      <c r="AD22" s="1">
        <f t="shared" si="3"/>
        <v>7</v>
      </c>
      <c r="AE22" s="69">
        <f t="shared" si="4"/>
        <v>21.477831283232742</v>
      </c>
      <c r="AF22" s="71" t="str">
        <f t="shared" si="5"/>
        <v>СВ</v>
      </c>
      <c r="AG22" s="1">
        <f t="shared" si="6"/>
        <v>0.12842069550760724</v>
      </c>
      <c r="AH22" s="72">
        <f t="shared" si="7"/>
        <v>7</v>
      </c>
      <c r="AI22" s="73">
        <f t="shared" si="8"/>
        <v>21.477831283232742</v>
      </c>
      <c r="AJ22" s="1">
        <f>((1+COS(2*(AH22)))/2)*X22</f>
        <v>10.074309803417625</v>
      </c>
      <c r="AK22" s="111"/>
      <c r="AL22" s="113"/>
    </row>
    <row r="23" spans="1:38" ht="15" thickBot="1" x14ac:dyDescent="0.35">
      <c r="A23" s="16">
        <v>14</v>
      </c>
      <c r="B23" s="12">
        <v>23142.547999999999</v>
      </c>
      <c r="C23" s="35">
        <v>10559.769</v>
      </c>
      <c r="D23" s="99"/>
      <c r="E23" s="101"/>
      <c r="F23" s="103"/>
      <c r="G23" s="116"/>
      <c r="H23" s="40" t="s">
        <v>49</v>
      </c>
      <c r="I23" s="45">
        <v>82.915999999999997</v>
      </c>
      <c r="J23" s="119"/>
      <c r="K23" s="121"/>
      <c r="L23" s="113"/>
      <c r="M23" s="56"/>
      <c r="N23" s="56"/>
      <c r="O23" s="56"/>
      <c r="P23" s="56"/>
      <c r="Q23" s="56"/>
      <c r="R23" s="56"/>
      <c r="S23" s="123"/>
      <c r="T23" s="123"/>
      <c r="U23" s="123"/>
      <c r="V23" s="119"/>
      <c r="W23" s="107"/>
      <c r="X23" s="105"/>
      <c r="Y23" s="109">
        <f t="shared" ref="Y23" si="20">SQRT((B23-B24)^2+(C23-C24)^2)</f>
        <v>21.474204083041002</v>
      </c>
      <c r="Z23" s="68">
        <f t="shared" si="0"/>
        <v>18.40400000000227</v>
      </c>
      <c r="AA23" s="1">
        <f t="shared" si="0"/>
        <v>-11.065000000000509</v>
      </c>
      <c r="AB23" s="10">
        <f t="shared" si="1"/>
        <v>0.60122799391431991</v>
      </c>
      <c r="AC23" s="1">
        <f t="shared" si="2"/>
        <v>0.54132194781536358</v>
      </c>
      <c r="AD23" s="1">
        <f t="shared" si="3"/>
        <v>31</v>
      </c>
      <c r="AE23" s="69">
        <f t="shared" si="4"/>
        <v>0.92777805727969564</v>
      </c>
      <c r="AF23" s="71" t="str">
        <f t="shared" si="5"/>
        <v>СЗ</v>
      </c>
      <c r="AG23" s="1">
        <f t="shared" si="6"/>
        <v>5.7418633593642223</v>
      </c>
      <c r="AH23" s="72">
        <f t="shared" si="7"/>
        <v>328</v>
      </c>
      <c r="AI23" s="73">
        <f t="shared" si="8"/>
        <v>59.072221942717533</v>
      </c>
      <c r="AJ23" s="1">
        <f>((1+COS(2*(AH23)))/2)*Y23</f>
        <v>1.8323560395376206</v>
      </c>
      <c r="AK23" s="111"/>
      <c r="AL23" s="113"/>
    </row>
    <row r="24" spans="1:38" x14ac:dyDescent="0.3">
      <c r="A24" s="16">
        <v>15</v>
      </c>
      <c r="B24" s="12">
        <v>23160.952000000001</v>
      </c>
      <c r="C24" s="35">
        <v>10548.704</v>
      </c>
      <c r="D24" s="99"/>
      <c r="E24" s="101"/>
      <c r="F24" s="103"/>
      <c r="G24" s="116"/>
      <c r="H24" s="40" t="s">
        <v>50</v>
      </c>
      <c r="I24" s="45">
        <v>93.980999999999995</v>
      </c>
      <c r="J24" s="119"/>
      <c r="K24" s="121"/>
      <c r="L24" s="113"/>
      <c r="M24" s="56"/>
      <c r="N24" s="56"/>
      <c r="O24" s="56"/>
      <c r="P24" s="56"/>
      <c r="Q24" s="56"/>
      <c r="R24" s="56"/>
      <c r="S24" s="118">
        <v>186.84100000000001</v>
      </c>
      <c r="T24" s="118">
        <f>S24^2</f>
        <v>34909.559281000002</v>
      </c>
      <c r="U24" s="118">
        <f>G5*T24</f>
        <v>31418603.352900002</v>
      </c>
      <c r="V24" s="119"/>
      <c r="W24" s="107"/>
      <c r="X24" s="110">
        <f t="shared" ref="X24" si="21">SQRT((B24-B25)^2+(C24-C25)^2)</f>
        <v>84.206676463330822</v>
      </c>
      <c r="Y24" s="109"/>
      <c r="Z24" s="68">
        <f t="shared" si="0"/>
        <v>63.715000000000146</v>
      </c>
      <c r="AA24" s="1">
        <f t="shared" si="0"/>
        <v>-55.056000000000495</v>
      </c>
      <c r="AB24" s="10">
        <f t="shared" si="1"/>
        <v>0.86409793612179819</v>
      </c>
      <c r="AC24" s="1">
        <f t="shared" si="2"/>
        <v>0.71262191771638084</v>
      </c>
      <c r="AD24" s="1">
        <f t="shared" si="3"/>
        <v>40</v>
      </c>
      <c r="AE24" s="69">
        <f t="shared" si="4"/>
        <v>49.813696420059017</v>
      </c>
      <c r="AF24" s="71" t="str">
        <f t="shared" si="5"/>
        <v>СЗ</v>
      </c>
      <c r="AG24" s="1">
        <f t="shared" si="6"/>
        <v>5.5705633894632056</v>
      </c>
      <c r="AH24" s="72">
        <f t="shared" si="7"/>
        <v>319</v>
      </c>
      <c r="AI24" s="73">
        <f t="shared" si="8"/>
        <v>10.186303579943115</v>
      </c>
      <c r="AJ24" s="1">
        <f>((1+COS(2*(AH24)))/2)*X24</f>
        <v>1.3795039268114235</v>
      </c>
      <c r="AK24" s="111"/>
      <c r="AL24" s="113"/>
    </row>
    <row r="25" spans="1:38" x14ac:dyDescent="0.3">
      <c r="A25" s="16">
        <v>16</v>
      </c>
      <c r="B25" s="12">
        <v>23224.667000000001</v>
      </c>
      <c r="C25" s="35">
        <v>10493.647999999999</v>
      </c>
      <c r="D25" s="99"/>
      <c r="E25" s="101"/>
      <c r="F25" s="103"/>
      <c r="G25" s="116"/>
      <c r="H25" s="40" t="s">
        <v>51</v>
      </c>
      <c r="I25" s="45">
        <v>149.03700000000001</v>
      </c>
      <c r="J25" s="119"/>
      <c r="K25" s="121"/>
      <c r="L25" s="113"/>
      <c r="M25" s="56"/>
      <c r="N25" s="56"/>
      <c r="O25" s="56"/>
      <c r="P25" s="56"/>
      <c r="Q25" s="56"/>
      <c r="R25" s="56"/>
      <c r="S25" s="119"/>
      <c r="T25" s="119"/>
      <c r="U25" s="119"/>
      <c r="V25" s="119"/>
      <c r="W25" s="107"/>
      <c r="X25" s="105"/>
      <c r="Y25" s="109">
        <f t="shared" ref="Y25" si="22">SQRT((B25-B26)^2+(C25-C26)^2)</f>
        <v>88.651551774346729</v>
      </c>
      <c r="Z25" s="68">
        <f t="shared" si="0"/>
        <v>59.235999999997148</v>
      </c>
      <c r="AA25" s="1">
        <f t="shared" si="0"/>
        <v>65.956000000000131</v>
      </c>
      <c r="AB25" s="10">
        <f t="shared" si="1"/>
        <v>1.1134445269768942</v>
      </c>
      <c r="AC25" s="1">
        <f t="shared" si="2"/>
        <v>0.83902425027653571</v>
      </c>
      <c r="AD25" s="1">
        <f t="shared" si="3"/>
        <v>48</v>
      </c>
      <c r="AE25" s="69">
        <f t="shared" si="4"/>
        <v>4.3529069984153068</v>
      </c>
      <c r="AF25" s="71" t="str">
        <f t="shared" si="5"/>
        <v>СВ</v>
      </c>
      <c r="AG25" s="1">
        <f t="shared" si="6"/>
        <v>0.83902425027653571</v>
      </c>
      <c r="AH25" s="72">
        <f t="shared" si="7"/>
        <v>48</v>
      </c>
      <c r="AI25" s="73">
        <f t="shared" si="8"/>
        <v>4.3529069984153068</v>
      </c>
      <c r="AJ25" s="1">
        <f>((1+COS(2*(AH25)))/2)*Y25</f>
        <v>36.328056228674775</v>
      </c>
      <c r="AK25" s="111"/>
      <c r="AL25" s="113"/>
    </row>
    <row r="26" spans="1:38" x14ac:dyDescent="0.3">
      <c r="A26" s="16">
        <v>17</v>
      </c>
      <c r="B26" s="12">
        <v>23283.902999999998</v>
      </c>
      <c r="C26" s="35">
        <v>10559.603999999999</v>
      </c>
      <c r="D26" s="99"/>
      <c r="E26" s="101"/>
      <c r="F26" s="103"/>
      <c r="G26" s="116"/>
      <c r="H26" s="40" t="s">
        <v>52</v>
      </c>
      <c r="I26" s="45">
        <v>83.081000000000003</v>
      </c>
      <c r="J26" s="119"/>
      <c r="K26" s="121"/>
      <c r="L26" s="113"/>
      <c r="M26" s="56"/>
      <c r="N26" s="56"/>
      <c r="O26" s="56"/>
      <c r="P26" s="56"/>
      <c r="Q26" s="56"/>
      <c r="R26" s="56"/>
      <c r="S26" s="119"/>
      <c r="T26" s="119"/>
      <c r="U26" s="119"/>
      <c r="V26" s="119"/>
      <c r="W26" s="107"/>
      <c r="X26" s="110">
        <f t="shared" ref="X26" si="23">SQRT((B26-B27)^2+(C26-C27)^2)</f>
        <v>104.02921367096783</v>
      </c>
      <c r="Y26" s="109"/>
      <c r="Z26" s="68">
        <f t="shared" si="0"/>
        <v>-77.243999999998778</v>
      </c>
      <c r="AA26" s="1">
        <f t="shared" si="0"/>
        <v>69.681000000000495</v>
      </c>
      <c r="AB26" s="10">
        <f t="shared" si="1"/>
        <v>0.90208948267828692</v>
      </c>
      <c r="AC26" s="1">
        <f t="shared" si="2"/>
        <v>0.73396831344276026</v>
      </c>
      <c r="AD26" s="1">
        <f t="shared" si="3"/>
        <v>42</v>
      </c>
      <c r="AE26" s="69">
        <f t="shared" si="4"/>
        <v>3.1971993963172451</v>
      </c>
      <c r="AF26" s="71" t="str">
        <f t="shared" si="5"/>
        <v>ЮВ</v>
      </c>
      <c r="AG26" s="1">
        <f t="shared" si="6"/>
        <v>2.407624340147033</v>
      </c>
      <c r="AH26" s="72">
        <f t="shared" si="7"/>
        <v>137</v>
      </c>
      <c r="AI26" s="73">
        <f t="shared" si="8"/>
        <v>56.802800603683181</v>
      </c>
      <c r="AJ26" s="1">
        <f>((1+COS(2*(AH26)))/2)*X26</f>
        <v>11.616578495146598</v>
      </c>
      <c r="AK26" s="111"/>
      <c r="AL26" s="113"/>
    </row>
    <row r="27" spans="1:38" x14ac:dyDescent="0.3">
      <c r="A27" s="16">
        <v>18</v>
      </c>
      <c r="B27" s="12">
        <v>23206.659</v>
      </c>
      <c r="C27" s="35">
        <v>10629.285</v>
      </c>
      <c r="D27" s="99"/>
      <c r="E27" s="101"/>
      <c r="F27" s="103"/>
      <c r="G27" s="116"/>
      <c r="H27" s="40" t="s">
        <v>53</v>
      </c>
      <c r="I27" s="45">
        <v>13.4</v>
      </c>
      <c r="J27" s="119"/>
      <c r="K27" s="121"/>
      <c r="L27" s="113"/>
      <c r="M27" s="56"/>
      <c r="N27" s="56"/>
      <c r="O27" s="56"/>
      <c r="P27" s="56"/>
      <c r="Q27" s="56"/>
      <c r="R27" s="56"/>
      <c r="S27" s="119"/>
      <c r="T27" s="119"/>
      <c r="U27" s="119"/>
      <c r="V27" s="119"/>
      <c r="W27" s="107"/>
      <c r="X27" s="105"/>
      <c r="Y27" s="109">
        <f t="shared" ref="Y27" si="24">SQRT((B27-B28)^2+(C27-C28)^2)</f>
        <v>222.17848868196111</v>
      </c>
      <c r="Z27" s="68">
        <f t="shared" si="0"/>
        <v>-149.66300000000047</v>
      </c>
      <c r="AA27" s="1">
        <f t="shared" si="0"/>
        <v>-164.20800000000054</v>
      </c>
      <c r="AB27" s="10">
        <f t="shared" si="1"/>
        <v>1.0971850089868573</v>
      </c>
      <c r="AC27" s="1">
        <f t="shared" si="2"/>
        <v>0.83170572858503533</v>
      </c>
      <c r="AD27" s="1">
        <f t="shared" si="3"/>
        <v>47</v>
      </c>
      <c r="AE27" s="69">
        <f t="shared" si="4"/>
        <v>39.193682686540399</v>
      </c>
      <c r="AF27" s="71" t="str">
        <f t="shared" si="5"/>
        <v>ЮЗ</v>
      </c>
      <c r="AG27" s="1">
        <f t="shared" si="6"/>
        <v>3.9732983821748284</v>
      </c>
      <c r="AH27" s="72">
        <f t="shared" si="7"/>
        <v>227</v>
      </c>
      <c r="AI27" s="73">
        <f t="shared" si="8"/>
        <v>39.193682686541251</v>
      </c>
      <c r="AJ27" s="1">
        <f>((1+COS(2*(AH27)))/2)*Y27</f>
        <v>106.66222677377321</v>
      </c>
      <c r="AK27" s="111"/>
      <c r="AL27" s="113"/>
    </row>
    <row r="28" spans="1:38" x14ac:dyDescent="0.3">
      <c r="A28" s="16">
        <v>19</v>
      </c>
      <c r="B28" s="12">
        <v>23056.995999999999</v>
      </c>
      <c r="C28" s="35">
        <v>10465.076999999999</v>
      </c>
      <c r="D28" s="99"/>
      <c r="E28" s="101"/>
      <c r="F28" s="103"/>
      <c r="G28" s="116"/>
      <c r="H28" s="40" t="s">
        <v>54</v>
      </c>
      <c r="I28" s="45">
        <v>177.608</v>
      </c>
      <c r="J28" s="119"/>
      <c r="K28" s="121"/>
      <c r="L28" s="113"/>
      <c r="M28" s="56"/>
      <c r="N28" s="56"/>
      <c r="O28" s="56"/>
      <c r="P28" s="56"/>
      <c r="Q28" s="56"/>
      <c r="R28" s="56"/>
      <c r="S28" s="119"/>
      <c r="T28" s="119"/>
      <c r="U28" s="119"/>
      <c r="V28" s="119"/>
      <c r="W28" s="107"/>
      <c r="X28" s="110">
        <f t="shared" ref="X28" si="25">SQRT((B28-B29)^2+(C28-C29)^2)</f>
        <v>16.513247106490617</v>
      </c>
      <c r="Y28" s="109"/>
      <c r="Z28" s="68">
        <f t="shared" si="0"/>
        <v>-15.451000000000931</v>
      </c>
      <c r="AA28" s="1">
        <f t="shared" si="0"/>
        <v>-5.8269999999993161</v>
      </c>
      <c r="AB28" s="10">
        <f t="shared" si="1"/>
        <v>0.37712769400032131</v>
      </c>
      <c r="AC28" s="1">
        <f t="shared" si="2"/>
        <v>0.36063473972582011</v>
      </c>
      <c r="AD28" s="1">
        <f t="shared" si="3"/>
        <v>20</v>
      </c>
      <c r="AE28" s="69">
        <f t="shared" si="4"/>
        <v>39.770911925305086</v>
      </c>
      <c r="AF28" s="71" t="str">
        <f t="shared" si="5"/>
        <v>ЮЗ</v>
      </c>
      <c r="AG28" s="1">
        <f t="shared" si="6"/>
        <v>3.5022273933156134</v>
      </c>
      <c r="AH28" s="72">
        <f t="shared" si="7"/>
        <v>200</v>
      </c>
      <c r="AI28" s="73">
        <f t="shared" si="8"/>
        <v>39.770911925305086</v>
      </c>
      <c r="AJ28" s="1">
        <f>((1+COS(2*(AH28)))/2)*X28</f>
        <v>3.9194494311758219</v>
      </c>
      <c r="AK28" s="111"/>
      <c r="AL28" s="113"/>
    </row>
    <row r="29" spans="1:38" x14ac:dyDescent="0.3">
      <c r="A29" s="16">
        <v>20</v>
      </c>
      <c r="B29" s="12">
        <v>23041.544999999998</v>
      </c>
      <c r="C29" s="35">
        <v>10459.25</v>
      </c>
      <c r="D29" s="99"/>
      <c r="E29" s="101"/>
      <c r="F29" s="103"/>
      <c r="G29" s="116"/>
      <c r="H29" s="40" t="s">
        <v>55</v>
      </c>
      <c r="I29" s="45">
        <v>183.435</v>
      </c>
      <c r="J29" s="119"/>
      <c r="K29" s="121"/>
      <c r="L29" s="113"/>
      <c r="M29" s="56"/>
      <c r="N29" s="56"/>
      <c r="O29" s="56"/>
      <c r="P29" s="56"/>
      <c r="Q29" s="56"/>
      <c r="R29" s="56"/>
      <c r="S29" s="119"/>
      <c r="T29" s="119"/>
      <c r="U29" s="119"/>
      <c r="V29" s="119"/>
      <c r="W29" s="107"/>
      <c r="X29" s="105"/>
      <c r="Y29" s="109">
        <f t="shared" ref="Y29" si="26">SQRT((B29-B30)^2+(C29-C30)^2)</f>
        <v>19.792182345562569</v>
      </c>
      <c r="Z29" s="68">
        <f t="shared" si="0"/>
        <v>-15.411000000000058</v>
      </c>
      <c r="AA29" s="1">
        <f t="shared" si="0"/>
        <v>12.418999999999869</v>
      </c>
      <c r="AB29" s="10">
        <f t="shared" si="1"/>
        <v>0.80585296216986713</v>
      </c>
      <c r="AC29" s="1">
        <f t="shared" si="2"/>
        <v>0.67829964606176196</v>
      </c>
      <c r="AD29" s="1">
        <f t="shared" si="3"/>
        <v>38</v>
      </c>
      <c r="AE29" s="69">
        <f t="shared" si="4"/>
        <v>51.822417873389526</v>
      </c>
      <c r="AF29" s="71" t="str">
        <f t="shared" si="5"/>
        <v>ЮВ</v>
      </c>
      <c r="AG29" s="1">
        <f t="shared" si="6"/>
        <v>2.4632930075280313</v>
      </c>
      <c r="AH29" s="72">
        <f t="shared" si="7"/>
        <v>141</v>
      </c>
      <c r="AI29" s="73">
        <f t="shared" si="8"/>
        <v>8.1775821266109006</v>
      </c>
      <c r="AJ29" s="1">
        <f>((1+COS(2*(AH29)))/2)*Y29</f>
        <v>17.181723318487826</v>
      </c>
      <c r="AK29" s="111"/>
      <c r="AL29" s="113"/>
    </row>
    <row r="30" spans="1:38" x14ac:dyDescent="0.3">
      <c r="A30" s="16">
        <v>21</v>
      </c>
      <c r="B30" s="12">
        <v>23026.133999999998</v>
      </c>
      <c r="C30" s="35">
        <v>10471.669</v>
      </c>
      <c r="D30" s="99"/>
      <c r="E30" s="101"/>
      <c r="F30" s="103"/>
      <c r="G30" s="116"/>
      <c r="H30" s="40" t="s">
        <v>56</v>
      </c>
      <c r="I30" s="45">
        <v>171.01599999999999</v>
      </c>
      <c r="J30" s="119"/>
      <c r="K30" s="121"/>
      <c r="L30" s="113"/>
      <c r="M30" s="56"/>
      <c r="N30" s="56"/>
      <c r="O30" s="56"/>
      <c r="P30" s="56"/>
      <c r="Q30" s="56"/>
      <c r="R30" s="56"/>
      <c r="S30" s="119"/>
      <c r="T30" s="119"/>
      <c r="U30" s="119"/>
      <c r="V30" s="119"/>
      <c r="W30" s="107"/>
      <c r="X30" s="110">
        <f t="shared" ref="X30" si="27">SQRT((B30-B31)^2+(C30-C31)^2)</f>
        <v>51.237139069231404</v>
      </c>
      <c r="Y30" s="109"/>
      <c r="Z30" s="68">
        <f t="shared" si="0"/>
        <v>-34.64799999999741</v>
      </c>
      <c r="AA30" s="1">
        <f t="shared" si="0"/>
        <v>-37.745999999999185</v>
      </c>
      <c r="AB30" s="10">
        <f t="shared" si="1"/>
        <v>1.0894135303625607</v>
      </c>
      <c r="AC30" s="1">
        <f t="shared" si="2"/>
        <v>0.8281656712107559</v>
      </c>
      <c r="AD30" s="1">
        <f t="shared" si="3"/>
        <v>47</v>
      </c>
      <c r="AE30" s="69">
        <f t="shared" si="4"/>
        <v>27.02386187971797</v>
      </c>
      <c r="AF30" s="71" t="str">
        <f t="shared" si="5"/>
        <v>ЮЗ</v>
      </c>
      <c r="AG30" s="1">
        <f t="shared" si="6"/>
        <v>3.9697583248005488</v>
      </c>
      <c r="AH30" s="72">
        <f t="shared" si="7"/>
        <v>227</v>
      </c>
      <c r="AI30" s="73">
        <f t="shared" si="8"/>
        <v>27.02386187971797</v>
      </c>
      <c r="AJ30" s="1">
        <f>((1+COS(2*(AH30)))/2)*X30</f>
        <v>24.597643899111773</v>
      </c>
      <c r="AK30" s="111"/>
      <c r="AL30" s="113"/>
    </row>
    <row r="31" spans="1:38" x14ac:dyDescent="0.3">
      <c r="A31" s="16">
        <v>22</v>
      </c>
      <c r="B31" s="12">
        <v>22991.486000000001</v>
      </c>
      <c r="C31" s="35">
        <v>10433.923000000001</v>
      </c>
      <c r="D31" s="99"/>
      <c r="E31" s="101"/>
      <c r="F31" s="103"/>
      <c r="G31" s="116"/>
      <c r="H31" s="40" t="s">
        <v>57</v>
      </c>
      <c r="I31" s="45">
        <v>208.762</v>
      </c>
      <c r="J31" s="119"/>
      <c r="K31" s="121"/>
      <c r="L31" s="113"/>
      <c r="M31" s="56"/>
      <c r="N31" s="56"/>
      <c r="O31" s="56"/>
      <c r="P31" s="56"/>
      <c r="Q31" s="56"/>
      <c r="R31" s="56"/>
      <c r="S31" s="119"/>
      <c r="T31" s="119"/>
      <c r="U31" s="119"/>
      <c r="V31" s="119"/>
      <c r="W31" s="107"/>
      <c r="X31" s="105"/>
      <c r="Y31" s="109">
        <f t="shared" ref="Y31" si="28">SQRT((B31-B32)^2+(C31-C32)^2)</f>
        <v>12.191410131729008</v>
      </c>
      <c r="Z31" s="68">
        <f t="shared" si="0"/>
        <v>-8.7590000000018335</v>
      </c>
      <c r="AA31" s="1">
        <f t="shared" si="0"/>
        <v>8.4799999999995634</v>
      </c>
      <c r="AB31" s="10">
        <f t="shared" si="1"/>
        <v>0.96814704874960478</v>
      </c>
      <c r="AC31" s="1">
        <f t="shared" si="2"/>
        <v>0.76921534279332215</v>
      </c>
      <c r="AD31" s="1">
        <f t="shared" si="3"/>
        <v>44</v>
      </c>
      <c r="AE31" s="69">
        <f t="shared" si="4"/>
        <v>4.3675607259736182</v>
      </c>
      <c r="AF31" s="71" t="str">
        <f t="shared" si="5"/>
        <v>ЮВ</v>
      </c>
      <c r="AG31" s="1">
        <f t="shared" si="6"/>
        <v>2.372377310796471</v>
      </c>
      <c r="AH31" s="72">
        <f t="shared" si="7"/>
        <v>135</v>
      </c>
      <c r="AI31" s="73">
        <f t="shared" si="8"/>
        <v>55.632439274025955</v>
      </c>
      <c r="AJ31" s="1">
        <f>((1+COS(2*(AH31)))/2)*Y31</f>
        <v>12.096207109080646</v>
      </c>
      <c r="AK31" s="111"/>
      <c r="AL31" s="113"/>
    </row>
    <row r="32" spans="1:38" ht="15" thickBot="1" x14ac:dyDescent="0.35">
      <c r="A32" s="15">
        <v>23</v>
      </c>
      <c r="B32" s="13">
        <v>22982.726999999999</v>
      </c>
      <c r="C32" s="34">
        <v>10442.403</v>
      </c>
      <c r="D32" s="99"/>
      <c r="E32" s="101"/>
      <c r="F32" s="103"/>
      <c r="G32" s="117"/>
      <c r="H32" s="43" t="s">
        <v>58</v>
      </c>
      <c r="I32" s="46">
        <v>200.28200000000001</v>
      </c>
      <c r="J32" s="123"/>
      <c r="K32" s="122"/>
      <c r="L32" s="113"/>
      <c r="M32" s="56"/>
      <c r="N32" s="56"/>
      <c r="O32" s="56"/>
      <c r="P32" s="56"/>
      <c r="Q32" s="56"/>
      <c r="R32" s="56"/>
      <c r="S32" s="119"/>
      <c r="T32" s="119"/>
      <c r="U32" s="119"/>
      <c r="V32" s="119"/>
      <c r="W32" s="107"/>
      <c r="X32" s="110">
        <f t="shared" ref="X32" si="29">SQRT((B32-B33)^2+(C32-C33)^2)</f>
        <v>80.000011049999515</v>
      </c>
      <c r="Y32" s="109"/>
      <c r="Z32" s="68">
        <f t="shared" si="0"/>
        <v>-35.121999999999389</v>
      </c>
      <c r="AA32" s="1">
        <f t="shared" si="0"/>
        <v>71.878000000000611</v>
      </c>
      <c r="AB32" s="10">
        <f t="shared" si="1"/>
        <v>2.0465235464951275</v>
      </c>
      <c r="AC32" s="1">
        <f t="shared" si="2"/>
        <v>1.1162831812475142</v>
      </c>
      <c r="AD32" s="1">
        <f t="shared" si="3"/>
        <v>63</v>
      </c>
      <c r="AE32" s="69">
        <f t="shared" si="4"/>
        <v>57.498901615181097</v>
      </c>
      <c r="AF32" s="71" t="str">
        <f t="shared" si="5"/>
        <v>ЮВ</v>
      </c>
      <c r="AG32" s="1">
        <f t="shared" si="6"/>
        <v>2.0253094723422791</v>
      </c>
      <c r="AH32" s="72">
        <f t="shared" si="7"/>
        <v>116</v>
      </c>
      <c r="AI32" s="73">
        <f t="shared" si="8"/>
        <v>2.5010983848193291</v>
      </c>
      <c r="AJ32" s="1">
        <f>((1+COS(2*(AH32)))/2)*X32</f>
        <v>75.51932122237433</v>
      </c>
      <c r="AK32" s="111"/>
      <c r="AL32" s="113"/>
    </row>
    <row r="33" spans="1:38" x14ac:dyDescent="0.3">
      <c r="A33" s="15">
        <v>24</v>
      </c>
      <c r="B33" s="13">
        <v>22947.605</v>
      </c>
      <c r="C33" s="34">
        <v>10514.281000000001</v>
      </c>
      <c r="D33" s="99"/>
      <c r="E33" s="101"/>
      <c r="F33" s="103"/>
      <c r="G33" s="115" t="s">
        <v>59</v>
      </c>
      <c r="H33" s="41" t="s">
        <v>60</v>
      </c>
      <c r="I33" s="44">
        <v>58.436999999999998</v>
      </c>
      <c r="J33" s="118">
        <f>SUM(I33:I43)</f>
        <v>1236.8209999999999</v>
      </c>
      <c r="K33" s="120">
        <f>J33^2</f>
        <v>1529726.1860409998</v>
      </c>
      <c r="L33" s="113"/>
      <c r="M33" s="56"/>
      <c r="N33" s="56"/>
      <c r="O33" s="56"/>
      <c r="P33" s="56"/>
      <c r="Q33" s="56"/>
      <c r="R33" s="56"/>
      <c r="S33" s="119"/>
      <c r="T33" s="119"/>
      <c r="U33" s="119"/>
      <c r="V33" s="119"/>
      <c r="W33" s="107"/>
      <c r="X33" s="105"/>
      <c r="Y33" s="109">
        <f t="shared" ref="Y33" si="30">SQRT((B33-B34)^2+(C33-C34)^2)</f>
        <v>65.728815514961397</v>
      </c>
      <c r="Z33" s="68">
        <f t="shared" si="0"/>
        <v>-28.858000000000175</v>
      </c>
      <c r="AA33" s="1">
        <f t="shared" si="0"/>
        <v>59.054999999998472</v>
      </c>
      <c r="AB33" s="10">
        <f t="shared" si="1"/>
        <v>2.0463996118926508</v>
      </c>
      <c r="AC33" s="1">
        <f t="shared" si="2"/>
        <v>1.1162592925653212</v>
      </c>
      <c r="AD33" s="1">
        <f t="shared" si="3"/>
        <v>63</v>
      </c>
      <c r="AE33" s="69">
        <f t="shared" si="4"/>
        <v>57.416778375113608</v>
      </c>
      <c r="AF33" s="71" t="str">
        <f t="shared" si="5"/>
        <v>ЮВ</v>
      </c>
      <c r="AG33" s="1">
        <f t="shared" si="6"/>
        <v>2.0253333610244719</v>
      </c>
      <c r="AH33" s="72">
        <f t="shared" si="7"/>
        <v>116</v>
      </c>
      <c r="AI33" s="73">
        <f t="shared" si="8"/>
        <v>2.5832216248863915</v>
      </c>
      <c r="AJ33" s="1">
        <f>((1+COS(2*(AH33)))/2)*Y33</f>
        <v>62.047435585205221</v>
      </c>
      <c r="AK33" s="111"/>
      <c r="AL33" s="113"/>
    </row>
    <row r="34" spans="1:38" x14ac:dyDescent="0.3">
      <c r="A34" s="16">
        <v>25</v>
      </c>
      <c r="B34" s="12">
        <v>22918.746999999999</v>
      </c>
      <c r="C34" s="35">
        <v>10573.335999999999</v>
      </c>
      <c r="D34" s="99" t="s">
        <v>10</v>
      </c>
      <c r="E34" s="101">
        <f>AVERAGE(B32:B44)</f>
        <v>23056.414846153846</v>
      </c>
      <c r="F34" s="103">
        <f>AVERAGE(C32:C44)</f>
        <v>10455.843538461537</v>
      </c>
      <c r="G34" s="116"/>
      <c r="H34" s="40" t="s">
        <v>61</v>
      </c>
      <c r="I34" s="45">
        <v>117.492</v>
      </c>
      <c r="J34" s="119"/>
      <c r="K34" s="121"/>
      <c r="L34" s="113"/>
      <c r="M34" s="56"/>
      <c r="N34" s="56"/>
      <c r="O34" s="56"/>
      <c r="P34" s="56"/>
      <c r="Q34" s="56"/>
      <c r="R34" s="56"/>
      <c r="S34" s="119"/>
      <c r="T34" s="119"/>
      <c r="U34" s="119"/>
      <c r="V34" s="119"/>
      <c r="W34" s="107"/>
      <c r="X34" s="110">
        <f t="shared" ref="X34" si="31">SQRT((B34-B35)^2+(C34-C35)^2)</f>
        <v>19.065092105730322</v>
      </c>
      <c r="Y34" s="109"/>
      <c r="Z34" s="68">
        <f t="shared" si="0"/>
        <v>-12.963999999999942</v>
      </c>
      <c r="AA34" s="1">
        <f t="shared" si="0"/>
        <v>-13.97899999999936</v>
      </c>
      <c r="AB34" s="10">
        <f t="shared" si="1"/>
        <v>1.0782937365010354</v>
      </c>
      <c r="AC34" s="1">
        <f t="shared" si="2"/>
        <v>0.82305247990124752</v>
      </c>
      <c r="AD34" s="1">
        <f t="shared" si="3"/>
        <v>47</v>
      </c>
      <c r="AE34" s="69">
        <f t="shared" si="4"/>
        <v>9.4460049670499302</v>
      </c>
      <c r="AF34" s="71" t="str">
        <f t="shared" si="5"/>
        <v>ЮЗ</v>
      </c>
      <c r="AG34" s="1">
        <f t="shared" si="6"/>
        <v>3.9646451334910404</v>
      </c>
      <c r="AH34" s="72">
        <f t="shared" si="7"/>
        <v>227</v>
      </c>
      <c r="AI34" s="73">
        <f t="shared" si="8"/>
        <v>9.4460049670499302</v>
      </c>
      <c r="AJ34" s="1">
        <f>((1+COS(2*(AH34)))/2)*X34</f>
        <v>9.1526645523058914</v>
      </c>
      <c r="AK34" s="111"/>
      <c r="AL34" s="113"/>
    </row>
    <row r="35" spans="1:38" x14ac:dyDescent="0.3">
      <c r="A35" s="16">
        <v>26</v>
      </c>
      <c r="B35" s="12">
        <v>22905.782999999999</v>
      </c>
      <c r="C35" s="35">
        <v>10559.357</v>
      </c>
      <c r="D35" s="99"/>
      <c r="E35" s="101"/>
      <c r="F35" s="103"/>
      <c r="G35" s="116"/>
      <c r="H35" s="40" t="s">
        <v>62</v>
      </c>
      <c r="I35" s="45">
        <v>103.51300000000001</v>
      </c>
      <c r="J35" s="119"/>
      <c r="K35" s="121"/>
      <c r="L35" s="113"/>
      <c r="M35" s="56"/>
      <c r="N35" s="56"/>
      <c r="O35" s="56"/>
      <c r="P35" s="56"/>
      <c r="Q35" s="56"/>
      <c r="R35" s="56"/>
      <c r="S35" s="119"/>
      <c r="T35" s="119"/>
      <c r="U35" s="119"/>
      <c r="V35" s="119"/>
      <c r="W35" s="107"/>
      <c r="X35" s="105"/>
      <c r="Y35" s="109">
        <f t="shared" ref="Y35" si="32">SQRT((B35-B36)^2+(C35-C36)^2)</f>
        <v>134.30238813960173</v>
      </c>
      <c r="Z35" s="68">
        <f t="shared" si="0"/>
        <v>57.506000000001222</v>
      </c>
      <c r="AA35" s="1">
        <f t="shared" si="0"/>
        <v>-121.36800000000039</v>
      </c>
      <c r="AB35" s="10">
        <f t="shared" si="1"/>
        <v>2.1105275971202624</v>
      </c>
      <c r="AC35" s="1">
        <f t="shared" si="2"/>
        <v>1.1283151461135958</v>
      </c>
      <c r="AD35" s="1">
        <f t="shared" si="3"/>
        <v>64</v>
      </c>
      <c r="AE35" s="69">
        <f t="shared" si="4"/>
        <v>38.861749979751039</v>
      </c>
      <c r="AF35" s="71" t="str">
        <f t="shared" si="5"/>
        <v>СЗ</v>
      </c>
      <c r="AG35" s="1">
        <f t="shared" si="6"/>
        <v>5.1548701610659906</v>
      </c>
      <c r="AH35" s="72">
        <f t="shared" si="7"/>
        <v>295</v>
      </c>
      <c r="AI35" s="73">
        <f t="shared" si="8"/>
        <v>21.138250020248961</v>
      </c>
      <c r="AJ35" s="1">
        <f>((1+COS(2*(AH35)))/2)*Y35</f>
        <v>121.82676891057477</v>
      </c>
      <c r="AK35" s="111"/>
      <c r="AL35" s="113"/>
    </row>
    <row r="36" spans="1:38" x14ac:dyDescent="0.3">
      <c r="A36" s="16">
        <v>27</v>
      </c>
      <c r="B36" s="12">
        <v>22963.289000000001</v>
      </c>
      <c r="C36" s="35">
        <v>10437.989</v>
      </c>
      <c r="D36" s="99"/>
      <c r="E36" s="101"/>
      <c r="F36" s="103"/>
      <c r="G36" s="116"/>
      <c r="H36" s="40" t="s">
        <v>63</v>
      </c>
      <c r="I36" s="45">
        <v>17.855</v>
      </c>
      <c r="J36" s="119"/>
      <c r="K36" s="121"/>
      <c r="L36" s="113"/>
      <c r="M36" s="56"/>
      <c r="N36" s="56"/>
      <c r="O36" s="56"/>
      <c r="P36" s="56"/>
      <c r="Q36" s="56"/>
      <c r="R36" s="56"/>
      <c r="S36" s="119"/>
      <c r="T36" s="119"/>
      <c r="U36" s="119"/>
      <c r="V36" s="119"/>
      <c r="W36" s="107"/>
      <c r="X36" s="110">
        <f t="shared" ref="X36" si="33">SQRT((B36-B37)^2+(C36-C37)^2)</f>
        <v>78.955808507036977</v>
      </c>
      <c r="Y36" s="109"/>
      <c r="Z36" s="68">
        <f t="shared" si="0"/>
        <v>-52.888999999999214</v>
      </c>
      <c r="AA36" s="1">
        <f t="shared" si="0"/>
        <v>-58.623999999999796</v>
      </c>
      <c r="AB36" s="10">
        <f t="shared" si="1"/>
        <v>1.108434646145714</v>
      </c>
      <c r="AC36" s="1">
        <f t="shared" si="2"/>
        <v>0.8367818744004436</v>
      </c>
      <c r="AD36" s="1">
        <f t="shared" si="3"/>
        <v>47</v>
      </c>
      <c r="AE36" s="69">
        <f t="shared" si="4"/>
        <v>56.644186571493691</v>
      </c>
      <c r="AF36" s="71" t="str">
        <f t="shared" si="5"/>
        <v>ЮЗ</v>
      </c>
      <c r="AG36" s="1">
        <f t="shared" si="6"/>
        <v>3.9783745279902369</v>
      </c>
      <c r="AH36" s="72">
        <f t="shared" si="7"/>
        <v>227</v>
      </c>
      <c r="AI36" s="73">
        <f t="shared" si="8"/>
        <v>56.64418657149497</v>
      </c>
      <c r="AJ36" s="1">
        <f>((1+COS(2*(AH36)))/2)*X36</f>
        <v>37.904670258781664</v>
      </c>
      <c r="AK36" s="111"/>
      <c r="AL36" s="113"/>
    </row>
    <row r="37" spans="1:38" x14ac:dyDescent="0.3">
      <c r="A37" s="16">
        <v>28</v>
      </c>
      <c r="B37" s="12">
        <v>22910.400000000001</v>
      </c>
      <c r="C37" s="35">
        <v>10379.365</v>
      </c>
      <c r="D37" s="99"/>
      <c r="E37" s="101"/>
      <c r="F37" s="103"/>
      <c r="G37" s="116"/>
      <c r="H37" s="40" t="s">
        <v>64</v>
      </c>
      <c r="I37" s="45">
        <v>76.478999999999999</v>
      </c>
      <c r="J37" s="119"/>
      <c r="K37" s="121"/>
      <c r="L37" s="113"/>
      <c r="M37" s="56"/>
      <c r="N37" s="56"/>
      <c r="O37" s="56"/>
      <c r="P37" s="56"/>
      <c r="Q37" s="56"/>
      <c r="R37" s="56"/>
      <c r="S37" s="119"/>
      <c r="T37" s="119"/>
      <c r="U37" s="119"/>
      <c r="V37" s="119"/>
      <c r="W37" s="107"/>
      <c r="X37" s="105"/>
      <c r="Y37" s="109">
        <f t="shared" ref="Y37" si="34">SQRT((B37-B38)^2+(C37-C38)^2)</f>
        <v>106.51604831667524</v>
      </c>
      <c r="Z37" s="68">
        <f t="shared" si="0"/>
        <v>-71.010000000002037</v>
      </c>
      <c r="AA37" s="1">
        <f t="shared" si="0"/>
        <v>-79.393000000000029</v>
      </c>
      <c r="AB37" s="10">
        <f t="shared" si="1"/>
        <v>1.1180537952400753</v>
      </c>
      <c r="AC37" s="1">
        <f t="shared" si="2"/>
        <v>0.84107747336581817</v>
      </c>
      <c r="AD37" s="1">
        <f t="shared" si="3"/>
        <v>48</v>
      </c>
      <c r="AE37" s="69">
        <f t="shared" si="4"/>
        <v>11.411368043297188</v>
      </c>
      <c r="AF37" s="71" t="str">
        <f t="shared" si="5"/>
        <v>ЮЗ</v>
      </c>
      <c r="AG37" s="1">
        <f t="shared" si="6"/>
        <v>3.9826701269556111</v>
      </c>
      <c r="AH37" s="72">
        <f t="shared" si="7"/>
        <v>228</v>
      </c>
      <c r="AI37" s="73">
        <f t="shared" si="8"/>
        <v>11.411368043296761</v>
      </c>
      <c r="AJ37" s="1">
        <f>((1+COS(2*(AH37)))/2)*Y37</f>
        <v>5.7523329705607296</v>
      </c>
      <c r="AK37" s="111"/>
      <c r="AL37" s="113"/>
    </row>
    <row r="38" spans="1:38" ht="15" thickBot="1" x14ac:dyDescent="0.35">
      <c r="A38" s="16">
        <v>29</v>
      </c>
      <c r="B38" s="12">
        <v>22839.39</v>
      </c>
      <c r="C38" s="35">
        <v>10299.972</v>
      </c>
      <c r="D38" s="99"/>
      <c r="E38" s="101"/>
      <c r="F38" s="103"/>
      <c r="G38" s="116"/>
      <c r="H38" s="40" t="s">
        <v>65</v>
      </c>
      <c r="I38" s="45">
        <v>155.87200000000001</v>
      </c>
      <c r="J38" s="119"/>
      <c r="K38" s="121"/>
      <c r="L38" s="113"/>
      <c r="M38" s="56"/>
      <c r="N38" s="56"/>
      <c r="O38" s="56"/>
      <c r="P38" s="56"/>
      <c r="Q38" s="56"/>
      <c r="R38" s="56"/>
      <c r="S38" s="123"/>
      <c r="T38" s="123"/>
      <c r="U38" s="123"/>
      <c r="V38" s="119"/>
      <c r="W38" s="107"/>
      <c r="X38" s="110">
        <f t="shared" ref="X38" si="35">SQRT((B38-B39)^2+(C38-C39)^2)</f>
        <v>167.22316060283018</v>
      </c>
      <c r="Y38" s="109"/>
      <c r="Z38" s="68">
        <f t="shared" si="0"/>
        <v>123.73099999999977</v>
      </c>
      <c r="AA38" s="1">
        <f t="shared" si="0"/>
        <v>-112.49099999999999</v>
      </c>
      <c r="AB38" s="10">
        <f t="shared" si="1"/>
        <v>0.90915776967777029</v>
      </c>
      <c r="AC38" s="1">
        <f t="shared" si="2"/>
        <v>0.73785166582989425</v>
      </c>
      <c r="AD38" s="1">
        <f t="shared" si="3"/>
        <v>42</v>
      </c>
      <c r="AE38" s="69">
        <f t="shared" si="4"/>
        <v>16.547181525007062</v>
      </c>
      <c r="AF38" s="71" t="str">
        <f t="shared" si="5"/>
        <v>СЗ</v>
      </c>
      <c r="AG38" s="1">
        <f t="shared" si="6"/>
        <v>5.5453336413496919</v>
      </c>
      <c r="AH38" s="72">
        <f t="shared" si="7"/>
        <v>317</v>
      </c>
      <c r="AI38" s="73">
        <f t="shared" si="8"/>
        <v>43.452818474993364</v>
      </c>
      <c r="AJ38" s="1">
        <f>((1+COS(2*(AH38)))/2)*X38</f>
        <v>152.53807911667454</v>
      </c>
      <c r="AK38" s="111"/>
      <c r="AL38" s="113"/>
    </row>
    <row r="39" spans="1:38" x14ac:dyDescent="0.3">
      <c r="A39" s="16">
        <v>30</v>
      </c>
      <c r="B39" s="12">
        <v>22963.120999999999</v>
      </c>
      <c r="C39" s="35">
        <v>10187.481</v>
      </c>
      <c r="D39" s="99"/>
      <c r="E39" s="101"/>
      <c r="F39" s="103"/>
      <c r="G39" s="116"/>
      <c r="H39" s="40" t="s">
        <v>66</v>
      </c>
      <c r="I39" s="45">
        <v>268.363</v>
      </c>
      <c r="J39" s="119"/>
      <c r="K39" s="121"/>
      <c r="L39" s="113"/>
      <c r="M39" s="56"/>
      <c r="N39" s="56"/>
      <c r="O39" s="56"/>
      <c r="P39" s="56"/>
      <c r="Q39" s="56"/>
      <c r="R39" s="56"/>
      <c r="S39" s="118">
        <v>462.36099999999999</v>
      </c>
      <c r="T39" s="118">
        <f>S39^2</f>
        <v>213777.69432099999</v>
      </c>
      <c r="U39" s="118">
        <f>G5*T39</f>
        <v>192399924.88889998</v>
      </c>
      <c r="V39" s="119"/>
      <c r="W39" s="107"/>
      <c r="X39" s="105"/>
      <c r="Y39" s="109">
        <f t="shared" ref="Y39" si="36">SQRT((B39-B40)^2+(C39-C40)^2)</f>
        <v>150.00012736327841</v>
      </c>
      <c r="Z39" s="68">
        <f t="shared" si="0"/>
        <v>102.29999999999927</v>
      </c>
      <c r="AA39" s="1">
        <f t="shared" si="0"/>
        <v>109.70299999999952</v>
      </c>
      <c r="AB39" s="10">
        <f t="shared" si="1"/>
        <v>1.0723655913978525</v>
      </c>
      <c r="AC39" s="1">
        <f t="shared" si="2"/>
        <v>0.8203032978938688</v>
      </c>
      <c r="AD39" s="1">
        <f t="shared" si="3"/>
        <v>46</v>
      </c>
      <c r="AE39" s="69">
        <f t="shared" si="4"/>
        <v>59.995013398883543</v>
      </c>
      <c r="AF39" s="71" t="str">
        <f t="shared" si="5"/>
        <v>СВ</v>
      </c>
      <c r="AG39" s="1">
        <f t="shared" si="6"/>
        <v>0.8203032978938688</v>
      </c>
      <c r="AH39" s="72">
        <f t="shared" si="7"/>
        <v>46</v>
      </c>
      <c r="AI39" s="73">
        <f t="shared" si="8"/>
        <v>59.995013398883543</v>
      </c>
      <c r="AJ39" s="1">
        <f>((1+COS(2*(AH39)))/2)*Y39</f>
        <v>28.016690195354464</v>
      </c>
      <c r="AK39" s="111"/>
      <c r="AL39" s="113"/>
    </row>
    <row r="40" spans="1:38" x14ac:dyDescent="0.3">
      <c r="A40" s="16">
        <v>31</v>
      </c>
      <c r="B40" s="12">
        <v>23065.420999999998</v>
      </c>
      <c r="C40" s="35">
        <v>10297.183999999999</v>
      </c>
      <c r="D40" s="99"/>
      <c r="E40" s="101"/>
      <c r="F40" s="103"/>
      <c r="G40" s="116"/>
      <c r="H40" s="40" t="s">
        <v>67</v>
      </c>
      <c r="I40" s="45">
        <v>158.66</v>
      </c>
      <c r="J40" s="119"/>
      <c r="K40" s="121"/>
      <c r="L40" s="113"/>
      <c r="M40" s="56"/>
      <c r="N40" s="56"/>
      <c r="O40" s="56"/>
      <c r="P40" s="56"/>
      <c r="Q40" s="56"/>
      <c r="R40" s="56"/>
      <c r="S40" s="119"/>
      <c r="T40" s="119"/>
      <c r="U40" s="119"/>
      <c r="V40" s="119"/>
      <c r="W40" s="107"/>
      <c r="X40" s="110">
        <f t="shared" ref="X40" si="37">SQRT((B40-B41)^2+(C40-C41)^2)</f>
        <v>149.99944536564408</v>
      </c>
      <c r="Y40" s="109"/>
      <c r="Z40" s="68">
        <f t="shared" si="0"/>
        <v>102.29900000000271</v>
      </c>
      <c r="AA40" s="1">
        <f t="shared" si="0"/>
        <v>109.70300000000134</v>
      </c>
      <c r="AB40" s="10">
        <f t="shared" si="1"/>
        <v>1.0723760740574046</v>
      </c>
      <c r="AC40" s="1">
        <f t="shared" si="2"/>
        <v>0.82030817359663755</v>
      </c>
      <c r="AD40" s="1">
        <f t="shared" si="3"/>
        <v>47</v>
      </c>
      <c r="AE40" s="69">
        <f t="shared" si="4"/>
        <v>1.1774830332313968E-2</v>
      </c>
      <c r="AF40" s="71" t="str">
        <f t="shared" si="5"/>
        <v>СВ</v>
      </c>
      <c r="AG40" s="1">
        <f t="shared" si="6"/>
        <v>0.82030817359663755</v>
      </c>
      <c r="AH40" s="72">
        <f t="shared" si="7"/>
        <v>47</v>
      </c>
      <c r="AI40" s="73">
        <f t="shared" si="8"/>
        <v>1.1774830332313968E-2</v>
      </c>
      <c r="AJ40" s="1">
        <f>((1+COS(2*(AH40)))/2)*X40</f>
        <v>147.7089063353354</v>
      </c>
      <c r="AK40" s="111"/>
      <c r="AL40" s="113"/>
    </row>
    <row r="41" spans="1:38" x14ac:dyDescent="0.3">
      <c r="A41" s="16">
        <v>32</v>
      </c>
      <c r="B41" s="12">
        <v>23167.72</v>
      </c>
      <c r="C41" s="35">
        <v>10406.887000000001</v>
      </c>
      <c r="D41" s="99"/>
      <c r="E41" s="101"/>
      <c r="F41" s="103"/>
      <c r="G41" s="116"/>
      <c r="H41" s="40" t="s">
        <v>68</v>
      </c>
      <c r="I41" s="45">
        <v>48.957000000000001</v>
      </c>
      <c r="J41" s="119"/>
      <c r="K41" s="121"/>
      <c r="L41" s="113"/>
      <c r="M41" s="56"/>
      <c r="N41" s="56"/>
      <c r="O41" s="56"/>
      <c r="P41" s="56"/>
      <c r="Q41" s="56"/>
      <c r="R41" s="56"/>
      <c r="S41" s="119"/>
      <c r="T41" s="119"/>
      <c r="U41" s="119"/>
      <c r="V41" s="119"/>
      <c r="W41" s="107"/>
      <c r="X41" s="105"/>
      <c r="Y41" s="109">
        <f t="shared" ref="Y41" si="38">SQRT((B41-B42)^2+(C41-C42)^2)</f>
        <v>150.00007801664552</v>
      </c>
      <c r="Z41" s="68">
        <f t="shared" si="0"/>
        <v>102.30099999999948</v>
      </c>
      <c r="AA41" s="1">
        <f t="shared" si="0"/>
        <v>109.70199999999932</v>
      </c>
      <c r="AB41" s="10">
        <f t="shared" si="1"/>
        <v>1.0723453338677029</v>
      </c>
      <c r="AC41" s="1">
        <f t="shared" si="2"/>
        <v>0.82029387555121225</v>
      </c>
      <c r="AD41" s="1">
        <f t="shared" si="3"/>
        <v>46</v>
      </c>
      <c r="AE41" s="69">
        <f t="shared" si="4"/>
        <v>59.962621770843043</v>
      </c>
      <c r="AF41" s="71" t="str">
        <f t="shared" si="5"/>
        <v>СВ</v>
      </c>
      <c r="AG41" s="1">
        <f t="shared" si="6"/>
        <v>0.82029387555121225</v>
      </c>
      <c r="AH41" s="72">
        <f t="shared" si="7"/>
        <v>46</v>
      </c>
      <c r="AI41" s="73">
        <f t="shared" si="8"/>
        <v>59.962621770843043</v>
      </c>
      <c r="AJ41" s="1">
        <f>((1+COS(2*(AH41)))/2)*Y41</f>
        <v>28.016680978500116</v>
      </c>
      <c r="AK41" s="111"/>
      <c r="AL41" s="113"/>
    </row>
    <row r="42" spans="1:38" x14ac:dyDescent="0.3">
      <c r="A42" s="16">
        <v>33</v>
      </c>
      <c r="B42" s="12">
        <v>23270.021000000001</v>
      </c>
      <c r="C42" s="35">
        <v>10516.589</v>
      </c>
      <c r="D42" s="99"/>
      <c r="E42" s="101"/>
      <c r="F42" s="103"/>
      <c r="G42" s="116"/>
      <c r="H42" s="40" t="s">
        <v>69</v>
      </c>
      <c r="I42" s="45">
        <v>60.744999999999997</v>
      </c>
      <c r="J42" s="119"/>
      <c r="K42" s="121"/>
      <c r="L42" s="113"/>
      <c r="M42" s="56"/>
      <c r="N42" s="56"/>
      <c r="O42" s="56"/>
      <c r="P42" s="56"/>
      <c r="Q42" s="56"/>
      <c r="R42" s="56"/>
      <c r="S42" s="119"/>
      <c r="T42" s="119"/>
      <c r="U42" s="119"/>
      <c r="V42" s="119"/>
      <c r="W42" s="107"/>
      <c r="X42" s="110">
        <f t="shared" ref="X42" si="39">SQRT((B42-B43)^2+(C42-C43)^2)</f>
        <v>150.00012736327841</v>
      </c>
      <c r="Y42" s="109"/>
      <c r="Z42" s="68">
        <f t="shared" si="0"/>
        <v>102.29999999999927</v>
      </c>
      <c r="AA42" s="1">
        <f t="shared" si="0"/>
        <v>109.70299999999952</v>
      </c>
      <c r="AB42" s="10">
        <f t="shared" si="1"/>
        <v>1.0723655913978525</v>
      </c>
      <c r="AC42" s="1">
        <f t="shared" si="2"/>
        <v>0.8203032978938688</v>
      </c>
      <c r="AD42" s="1">
        <f t="shared" si="3"/>
        <v>46</v>
      </c>
      <c r="AE42" s="69">
        <f t="shared" si="4"/>
        <v>59.995013398883543</v>
      </c>
      <c r="AF42" s="71" t="str">
        <f t="shared" si="5"/>
        <v>СВ</v>
      </c>
      <c r="AG42" s="1">
        <f t="shared" si="6"/>
        <v>0.8203032978938688</v>
      </c>
      <c r="AH42" s="72">
        <f t="shared" si="7"/>
        <v>46</v>
      </c>
      <c r="AI42" s="73">
        <f t="shared" si="8"/>
        <v>59.995013398883543</v>
      </c>
      <c r="AJ42" s="1">
        <f>((1+COS(2*(AH42)))/2)*X42</f>
        <v>28.016690195354464</v>
      </c>
      <c r="AK42" s="111"/>
      <c r="AL42" s="113"/>
    </row>
    <row r="43" spans="1:38" ht="15" thickBot="1" x14ac:dyDescent="0.35">
      <c r="A43" s="15">
        <v>34</v>
      </c>
      <c r="B43" s="13">
        <v>23372.321</v>
      </c>
      <c r="C43" s="34">
        <v>10626.291999999999</v>
      </c>
      <c r="D43" s="99"/>
      <c r="E43" s="101"/>
      <c r="F43" s="103"/>
      <c r="G43" s="117"/>
      <c r="H43" s="43" t="s">
        <v>70</v>
      </c>
      <c r="I43" s="46">
        <v>170.44800000000001</v>
      </c>
      <c r="J43" s="123"/>
      <c r="K43" s="122"/>
      <c r="L43" s="113"/>
      <c r="M43" s="56"/>
      <c r="N43" s="56"/>
      <c r="O43" s="56"/>
      <c r="P43" s="56"/>
      <c r="Q43" s="56"/>
      <c r="R43" s="56"/>
      <c r="S43" s="119"/>
      <c r="T43" s="119"/>
      <c r="U43" s="119"/>
      <c r="V43" s="119"/>
      <c r="W43" s="107"/>
      <c r="X43" s="105"/>
      <c r="Y43" s="109">
        <f t="shared" ref="Y43" si="40">SQRT((B43-B44)^2+(C43-C44)^2)</f>
        <v>79.999319828360157</v>
      </c>
      <c r="Z43" s="68">
        <f t="shared" si="0"/>
        <v>54.527000000001863</v>
      </c>
      <c r="AA43" s="1">
        <f t="shared" si="0"/>
        <v>58.538000000000466</v>
      </c>
      <c r="AB43" s="10">
        <f t="shared" si="1"/>
        <v>1.0735598877619981</v>
      </c>
      <c r="AC43" s="1">
        <f t="shared" si="2"/>
        <v>0.8208584620877456</v>
      </c>
      <c r="AD43" s="1">
        <f t="shared" si="3"/>
        <v>47</v>
      </c>
      <c r="AE43" s="69">
        <f t="shared" si="4"/>
        <v>1.9035273136390174</v>
      </c>
      <c r="AF43" s="71" t="str">
        <f t="shared" si="5"/>
        <v>СВ</v>
      </c>
      <c r="AG43" s="1">
        <f t="shared" si="6"/>
        <v>0.8208584620877456</v>
      </c>
      <c r="AH43" s="72">
        <f t="shared" si="7"/>
        <v>47</v>
      </c>
      <c r="AI43" s="73">
        <f t="shared" si="8"/>
        <v>1.9035273136390174</v>
      </c>
      <c r="AJ43" s="1">
        <f>((1+COS(2*(AH43)))/2)*Y43</f>
        <v>78.77770488159598</v>
      </c>
      <c r="AK43" s="111"/>
      <c r="AL43" s="113"/>
    </row>
    <row r="44" spans="1:38" x14ac:dyDescent="0.3">
      <c r="A44" s="15">
        <v>35</v>
      </c>
      <c r="B44" s="13">
        <v>23426.848000000002</v>
      </c>
      <c r="C44" s="34">
        <v>10684.83</v>
      </c>
      <c r="D44" s="99"/>
      <c r="E44" s="101"/>
      <c r="F44" s="103"/>
      <c r="G44" s="115" t="s">
        <v>71</v>
      </c>
      <c r="H44" s="41" t="s">
        <v>72</v>
      </c>
      <c r="I44" s="44">
        <v>233.375</v>
      </c>
      <c r="J44" s="118">
        <f>SUM(I44:I50)</f>
        <v>791.36800000000005</v>
      </c>
      <c r="K44" s="120">
        <f>J44^2</f>
        <v>626263.31142400007</v>
      </c>
      <c r="L44" s="113"/>
      <c r="M44" s="56"/>
      <c r="N44" s="56"/>
      <c r="O44" s="56"/>
      <c r="P44" s="56"/>
      <c r="Q44" s="56"/>
      <c r="R44" s="56"/>
      <c r="S44" s="119"/>
      <c r="T44" s="119"/>
      <c r="U44" s="119"/>
      <c r="V44" s="119"/>
      <c r="W44" s="107"/>
      <c r="X44" s="110">
        <f t="shared" ref="X44" si="41">SQRT((B44-B45)^2+(C44-C45)^2)</f>
        <v>134.18936049105875</v>
      </c>
      <c r="Y44" s="109"/>
      <c r="Z44" s="68">
        <f t="shared" si="0"/>
        <v>90.214999999996508</v>
      </c>
      <c r="AA44" s="1">
        <f t="shared" si="0"/>
        <v>99.337999999999738</v>
      </c>
      <c r="AB44" s="10">
        <f t="shared" si="1"/>
        <v>1.1011250900626679</v>
      </c>
      <c r="AC44" s="1">
        <f t="shared" si="2"/>
        <v>0.83349007222569982</v>
      </c>
      <c r="AD44" s="1">
        <f t="shared" si="3"/>
        <v>47</v>
      </c>
      <c r="AE44" s="69">
        <f t="shared" si="4"/>
        <v>45.327804275205352</v>
      </c>
      <c r="AF44" s="71" t="str">
        <f t="shared" si="5"/>
        <v>СВ</v>
      </c>
      <c r="AG44" s="1">
        <f t="shared" si="6"/>
        <v>0.83349007222569982</v>
      </c>
      <c r="AH44" s="72">
        <f t="shared" si="7"/>
        <v>47</v>
      </c>
      <c r="AI44" s="73">
        <f t="shared" si="8"/>
        <v>45.327804275205352</v>
      </c>
      <c r="AJ44" s="1">
        <f>((1+COS(2*(AH44)))/2)*X44</f>
        <v>132.14024646328562</v>
      </c>
      <c r="AK44" s="111"/>
      <c r="AL44" s="113"/>
    </row>
    <row r="45" spans="1:38" x14ac:dyDescent="0.3">
      <c r="A45" s="16">
        <v>36</v>
      </c>
      <c r="B45" s="12">
        <v>23517.062999999998</v>
      </c>
      <c r="C45" s="35">
        <v>10784.168</v>
      </c>
      <c r="D45" s="99" t="s">
        <v>11</v>
      </c>
      <c r="E45" s="101">
        <f>AVERAGE(B43:B51)</f>
        <v>23720.89577777778</v>
      </c>
      <c r="F45" s="103">
        <f>AVERAGE(C43:C51)</f>
        <v>10918.205</v>
      </c>
      <c r="G45" s="116"/>
      <c r="H45" s="40" t="s">
        <v>73</v>
      </c>
      <c r="I45" s="45">
        <v>134.03700000000001</v>
      </c>
      <c r="J45" s="119"/>
      <c r="K45" s="121"/>
      <c r="L45" s="113"/>
      <c r="M45" s="56"/>
      <c r="N45" s="56"/>
      <c r="O45" s="56"/>
      <c r="P45" s="56"/>
      <c r="Q45" s="56"/>
      <c r="R45" s="56"/>
      <c r="S45" s="119"/>
      <c r="T45" s="119"/>
      <c r="U45" s="119"/>
      <c r="V45" s="119"/>
      <c r="W45" s="107"/>
      <c r="X45" s="105"/>
      <c r="Y45" s="109">
        <f t="shared" ref="Y45" si="42">SQRT((B45-B46)^2+(C45-C46)^2)</f>
        <v>164.71710827051473</v>
      </c>
      <c r="Z45" s="68">
        <f t="shared" si="0"/>
        <v>110.30900000000111</v>
      </c>
      <c r="AA45" s="1">
        <f t="shared" si="0"/>
        <v>122.32600000000093</v>
      </c>
      <c r="AB45" s="10">
        <f t="shared" si="1"/>
        <v>1.1089394337724003</v>
      </c>
      <c r="AC45" s="1">
        <f t="shared" si="2"/>
        <v>0.83700831912815066</v>
      </c>
      <c r="AD45" s="1">
        <f t="shared" si="3"/>
        <v>47</v>
      </c>
      <c r="AE45" s="69">
        <f t="shared" si="4"/>
        <v>57.422646202929997</v>
      </c>
      <c r="AF45" s="71" t="str">
        <f t="shared" si="5"/>
        <v>СВ</v>
      </c>
      <c r="AG45" s="1">
        <f t="shared" si="6"/>
        <v>0.83700831912815066</v>
      </c>
      <c r="AH45" s="72">
        <f t="shared" si="7"/>
        <v>47</v>
      </c>
      <c r="AI45" s="73">
        <f t="shared" si="8"/>
        <v>57.422646202929997</v>
      </c>
      <c r="AJ45" s="1">
        <f>((1+COS(2*(AH45)))/2)*Y45</f>
        <v>162.20182586707986</v>
      </c>
      <c r="AK45" s="111"/>
      <c r="AL45" s="113"/>
    </row>
    <row r="46" spans="1:38" ht="15" thickBot="1" x14ac:dyDescent="0.35">
      <c r="A46" s="16">
        <v>37</v>
      </c>
      <c r="B46" s="12">
        <v>23627.371999999999</v>
      </c>
      <c r="C46" s="35">
        <v>10906.494000000001</v>
      </c>
      <c r="D46" s="99"/>
      <c r="E46" s="101"/>
      <c r="F46" s="103"/>
      <c r="G46" s="116"/>
      <c r="H46" s="40" t="s">
        <v>74</v>
      </c>
      <c r="I46" s="45">
        <v>11.711</v>
      </c>
      <c r="J46" s="119"/>
      <c r="K46" s="121"/>
      <c r="L46" s="113"/>
      <c r="M46" s="56"/>
      <c r="N46" s="56"/>
      <c r="O46" s="56"/>
      <c r="P46" s="56"/>
      <c r="Q46" s="56"/>
      <c r="R46" s="56"/>
      <c r="S46" s="123"/>
      <c r="T46" s="123"/>
      <c r="U46" s="123"/>
      <c r="V46" s="119"/>
      <c r="W46" s="107"/>
      <c r="X46" s="110">
        <f t="shared" ref="X46" si="43">SQRT((B46-B47)^2+(C46-C47)^2)</f>
        <v>131.58750553528964</v>
      </c>
      <c r="Y46" s="109"/>
      <c r="Z46" s="68">
        <f t="shared" si="0"/>
        <v>88.121999999999389</v>
      </c>
      <c r="AA46" s="1">
        <f t="shared" si="0"/>
        <v>97.722999999999956</v>
      </c>
      <c r="AB46" s="10">
        <f t="shared" si="1"/>
        <v>1.108951226708434</v>
      </c>
      <c r="AC46" s="1">
        <f t="shared" si="2"/>
        <v>0.83701360801008406</v>
      </c>
      <c r="AD46" s="1">
        <f t="shared" si="3"/>
        <v>47</v>
      </c>
      <c r="AE46" s="69">
        <f t="shared" si="4"/>
        <v>57.440828039717502</v>
      </c>
      <c r="AF46" s="71" t="str">
        <f t="shared" si="5"/>
        <v>СВ</v>
      </c>
      <c r="AG46" s="1">
        <f t="shared" si="6"/>
        <v>0.83701360801008406</v>
      </c>
      <c r="AH46" s="72">
        <f t="shared" si="7"/>
        <v>47</v>
      </c>
      <c r="AI46" s="73">
        <f t="shared" si="8"/>
        <v>57.440828039717502</v>
      </c>
      <c r="AJ46" s="1">
        <f>((1+COS(2*(AH46)))/2)*X46</f>
        <v>129.57812265660752</v>
      </c>
      <c r="AK46" s="111"/>
      <c r="AL46" s="113"/>
    </row>
    <row r="47" spans="1:38" x14ac:dyDescent="0.3">
      <c r="A47" s="16">
        <v>38</v>
      </c>
      <c r="B47" s="12">
        <v>23715.493999999999</v>
      </c>
      <c r="C47" s="35">
        <v>11004.217000000001</v>
      </c>
      <c r="D47" s="99"/>
      <c r="E47" s="101"/>
      <c r="F47" s="103"/>
      <c r="G47" s="116"/>
      <c r="H47" s="40" t="s">
        <v>75</v>
      </c>
      <c r="I47" s="45">
        <v>86.012</v>
      </c>
      <c r="J47" s="119"/>
      <c r="K47" s="121"/>
      <c r="L47" s="113"/>
      <c r="M47" s="56"/>
      <c r="N47" s="56"/>
      <c r="O47" s="56"/>
      <c r="P47" s="56"/>
      <c r="Q47" s="56"/>
      <c r="R47" s="56"/>
      <c r="S47" s="118">
        <v>648.24900000000002</v>
      </c>
      <c r="T47" s="118">
        <f>S47^2</f>
        <v>420226.76600100001</v>
      </c>
      <c r="U47" s="118">
        <f>G5*T47</f>
        <v>378204089.40090001</v>
      </c>
      <c r="V47" s="119"/>
      <c r="W47" s="107"/>
      <c r="X47" s="105"/>
      <c r="Y47" s="109">
        <f t="shared" ref="Y47" si="44">SQRT((B47-B48)^2+(C47-C48)^2)</f>
        <v>139.37228026046148</v>
      </c>
      <c r="Z47" s="68">
        <f t="shared" si="0"/>
        <v>102.9230000000025</v>
      </c>
      <c r="AA47" s="1">
        <f t="shared" si="0"/>
        <v>-93.976000000000568</v>
      </c>
      <c r="AB47" s="10">
        <f t="shared" si="1"/>
        <v>0.91307093652534688</v>
      </c>
      <c r="AC47" s="1">
        <f t="shared" si="2"/>
        <v>0.739989858432893</v>
      </c>
      <c r="AD47" s="1">
        <f t="shared" si="3"/>
        <v>42</v>
      </c>
      <c r="AE47" s="69">
        <f t="shared" si="4"/>
        <v>23.897746241282221</v>
      </c>
      <c r="AF47" s="71" t="str">
        <f t="shared" si="5"/>
        <v>СЗ</v>
      </c>
      <c r="AG47" s="1">
        <f t="shared" si="6"/>
        <v>5.543195448746693</v>
      </c>
      <c r="AH47" s="72">
        <f t="shared" si="7"/>
        <v>317</v>
      </c>
      <c r="AI47" s="73">
        <f t="shared" si="8"/>
        <v>36.102253758717779</v>
      </c>
      <c r="AJ47" s="1">
        <f>((1+COS(2*(AH47)))/2)*Y47</f>
        <v>127.1329870599384</v>
      </c>
      <c r="AK47" s="111"/>
      <c r="AL47" s="113"/>
    </row>
    <row r="48" spans="1:38" x14ac:dyDescent="0.3">
      <c r="A48" s="16">
        <v>39</v>
      </c>
      <c r="B48" s="12">
        <v>23818.417000000001</v>
      </c>
      <c r="C48" s="35">
        <v>10910.241</v>
      </c>
      <c r="D48" s="99"/>
      <c r="E48" s="101"/>
      <c r="F48" s="103"/>
      <c r="G48" s="116"/>
      <c r="H48" s="40" t="s">
        <v>76</v>
      </c>
      <c r="I48" s="45">
        <v>7.9640000000000004</v>
      </c>
      <c r="J48" s="119"/>
      <c r="K48" s="121"/>
      <c r="L48" s="113"/>
      <c r="M48" s="56"/>
      <c r="N48" s="56"/>
      <c r="O48" s="56"/>
      <c r="P48" s="56"/>
      <c r="Q48" s="56"/>
      <c r="R48" s="56"/>
      <c r="S48" s="119"/>
      <c r="T48" s="119"/>
      <c r="U48" s="119"/>
      <c r="V48" s="119"/>
      <c r="W48" s="107"/>
      <c r="X48" s="110">
        <f t="shared" ref="X48" si="45">SQRT((B48-B49)^2+(C48-C49)^2)</f>
        <v>149.999978309998</v>
      </c>
      <c r="Y48" s="109"/>
      <c r="Z48" s="68">
        <f t="shared" si="0"/>
        <v>100.40699999999924</v>
      </c>
      <c r="AA48" s="1">
        <f t="shared" si="0"/>
        <v>111.4380000000001</v>
      </c>
      <c r="AB48" s="10">
        <f t="shared" si="1"/>
        <v>1.1098628581672687</v>
      </c>
      <c r="AC48" s="1">
        <f t="shared" si="2"/>
        <v>0.837422267700485</v>
      </c>
      <c r="AD48" s="1">
        <f t="shared" si="3"/>
        <v>47</v>
      </c>
      <c r="AE48" s="69">
        <f t="shared" si="4"/>
        <v>58.845696570743513</v>
      </c>
      <c r="AF48" s="71" t="str">
        <f t="shared" si="5"/>
        <v>СВ</v>
      </c>
      <c r="AG48" s="1">
        <f t="shared" si="6"/>
        <v>0.837422267700485</v>
      </c>
      <c r="AH48" s="72">
        <f t="shared" si="7"/>
        <v>47</v>
      </c>
      <c r="AI48" s="73">
        <f t="shared" si="8"/>
        <v>58.845696570743513</v>
      </c>
      <c r="AJ48" s="1">
        <f>((1+COS(2*(AH48)))/2)*X48</f>
        <v>147.70943114146027</v>
      </c>
      <c r="AK48" s="111"/>
      <c r="AL48" s="113"/>
    </row>
    <row r="49" spans="1:38" x14ac:dyDescent="0.3">
      <c r="A49" s="16">
        <v>40</v>
      </c>
      <c r="B49" s="12">
        <v>23918.824000000001</v>
      </c>
      <c r="C49" s="35">
        <v>11021.679</v>
      </c>
      <c r="D49" s="99"/>
      <c r="E49" s="101"/>
      <c r="F49" s="103"/>
      <c r="G49" s="116"/>
      <c r="H49" s="40" t="s">
        <v>77</v>
      </c>
      <c r="I49" s="45">
        <v>103.474</v>
      </c>
      <c r="J49" s="119"/>
      <c r="K49" s="121"/>
      <c r="L49" s="113"/>
      <c r="M49" s="56"/>
      <c r="N49" s="56"/>
      <c r="O49" s="56"/>
      <c r="P49" s="56"/>
      <c r="Q49" s="56"/>
      <c r="R49" s="56"/>
      <c r="S49" s="119"/>
      <c r="T49" s="119"/>
      <c r="U49" s="119"/>
      <c r="V49" s="119"/>
      <c r="W49" s="107"/>
      <c r="X49" s="105"/>
      <c r="Y49" s="109">
        <f t="shared" ref="Y49" si="46">SQRT((B49-B50)^2+(C49-C50)^2)</f>
        <v>150.0001780332278</v>
      </c>
      <c r="Z49" s="68">
        <f t="shared" si="0"/>
        <v>100.53700000000026</v>
      </c>
      <c r="AA49" s="1">
        <f t="shared" si="0"/>
        <v>111.32099999999991</v>
      </c>
      <c r="AB49" s="10">
        <f t="shared" si="1"/>
        <v>1.1072639923610175</v>
      </c>
      <c r="AC49" s="1">
        <f t="shared" si="2"/>
        <v>0.83625628825157217</v>
      </c>
      <c r="AD49" s="1">
        <f t="shared" si="3"/>
        <v>47</v>
      </c>
      <c r="AE49" s="69">
        <f t="shared" si="4"/>
        <v>54.837354485441523</v>
      </c>
      <c r="AF49" s="71" t="str">
        <f t="shared" si="5"/>
        <v>СВ</v>
      </c>
      <c r="AG49" s="1">
        <f t="shared" si="6"/>
        <v>0.83625628825157217</v>
      </c>
      <c r="AH49" s="72">
        <f t="shared" si="7"/>
        <v>47</v>
      </c>
      <c r="AI49" s="73">
        <f t="shared" si="8"/>
        <v>54.837354485441523</v>
      </c>
      <c r="AJ49" s="1">
        <f>((1+COS(2*(AH49)))/2)*Y49</f>
        <v>147.70962781485309</v>
      </c>
      <c r="AK49" s="111"/>
      <c r="AL49" s="113"/>
    </row>
    <row r="50" spans="1:38" ht="15" thickBot="1" x14ac:dyDescent="0.35">
      <c r="A50" s="15">
        <v>41</v>
      </c>
      <c r="B50" s="13">
        <v>24019.361000000001</v>
      </c>
      <c r="C50" s="34">
        <v>11133</v>
      </c>
      <c r="D50" s="99"/>
      <c r="E50" s="101"/>
      <c r="F50" s="103"/>
      <c r="G50" s="117"/>
      <c r="H50" s="43" t="s">
        <v>78</v>
      </c>
      <c r="I50" s="46">
        <v>214.79499999999999</v>
      </c>
      <c r="J50" s="123"/>
      <c r="K50" s="122"/>
      <c r="L50" s="113"/>
      <c r="M50" s="56"/>
      <c r="N50" s="56"/>
      <c r="O50" s="56"/>
      <c r="P50" s="56"/>
      <c r="Q50" s="56"/>
      <c r="R50" s="56"/>
      <c r="S50" s="119"/>
      <c r="T50" s="119"/>
      <c r="U50" s="119"/>
      <c r="V50" s="119"/>
      <c r="W50" s="107"/>
      <c r="X50" s="110">
        <f t="shared" ref="X50" si="47">SQRT((B50-B51)^2+(C50-C51)^2)</f>
        <v>79.999948606234298</v>
      </c>
      <c r="Y50" s="109"/>
      <c r="Z50" s="68">
        <f t="shared" si="0"/>
        <v>53.001000000000204</v>
      </c>
      <c r="AA50" s="1">
        <f t="shared" si="0"/>
        <v>59.924000000000888</v>
      </c>
      <c r="AB50" s="10">
        <f t="shared" si="1"/>
        <v>1.1306201769778053</v>
      </c>
      <c r="AC50" s="1">
        <f t="shared" si="2"/>
        <v>0.84662770745639659</v>
      </c>
      <c r="AD50" s="1">
        <f t="shared" si="3"/>
        <v>48</v>
      </c>
      <c r="AE50" s="69">
        <f t="shared" si="4"/>
        <v>30.491667365283774</v>
      </c>
      <c r="AF50" s="71" t="str">
        <f t="shared" si="5"/>
        <v>СВ</v>
      </c>
      <c r="AG50" s="1">
        <f t="shared" si="6"/>
        <v>0.84662770745639659</v>
      </c>
      <c r="AH50" s="72">
        <f t="shared" si="7"/>
        <v>48</v>
      </c>
      <c r="AI50" s="73">
        <f t="shared" si="8"/>
        <v>30.491667365283774</v>
      </c>
      <c r="AJ50" s="1">
        <f>((1+COS(2*(AH50)))/2)*X50</f>
        <v>32.782760967973907</v>
      </c>
      <c r="AK50" s="111"/>
      <c r="AL50" s="113"/>
    </row>
    <row r="51" spans="1:38" x14ac:dyDescent="0.3">
      <c r="A51" s="15">
        <v>42</v>
      </c>
      <c r="B51" s="13">
        <v>24072.362000000001</v>
      </c>
      <c r="C51" s="34">
        <v>11192.924000000001</v>
      </c>
      <c r="D51" s="99"/>
      <c r="E51" s="101"/>
      <c r="F51" s="103"/>
      <c r="G51" s="115" t="s">
        <v>79</v>
      </c>
      <c r="H51" s="41" t="s">
        <v>80</v>
      </c>
      <c r="I51" s="44">
        <v>373.53</v>
      </c>
      <c r="J51" s="118">
        <f>SUM(I51:I58)</f>
        <v>1681.2570000000001</v>
      </c>
      <c r="K51" s="120">
        <f>J51^2</f>
        <v>2826625.1000490002</v>
      </c>
      <c r="L51" s="113"/>
      <c r="M51" s="56"/>
      <c r="N51" s="56"/>
      <c r="O51" s="56"/>
      <c r="P51" s="56"/>
      <c r="Q51" s="56"/>
      <c r="R51" s="56"/>
      <c r="S51" s="119"/>
      <c r="T51" s="119"/>
      <c r="U51" s="119"/>
      <c r="V51" s="119"/>
      <c r="W51" s="107"/>
      <c r="X51" s="105"/>
      <c r="Y51" s="109">
        <f t="shared" ref="Y51" si="48">SQRT((B51-B52)^2+(C51-C52)^2)</f>
        <v>149.99968141632621</v>
      </c>
      <c r="Z51" s="68">
        <f t="shared" si="0"/>
        <v>100.47199999999793</v>
      </c>
      <c r="AA51" s="1">
        <f t="shared" si="0"/>
        <v>111.378999999999</v>
      </c>
      <c r="AB51" s="10">
        <f t="shared" si="1"/>
        <v>1.1085576080898289</v>
      </c>
      <c r="AC51" s="1">
        <f t="shared" si="2"/>
        <v>0.83683704487284227</v>
      </c>
      <c r="AD51" s="1">
        <f t="shared" si="3"/>
        <v>47</v>
      </c>
      <c r="AE51" s="69">
        <f t="shared" si="4"/>
        <v>56.833848684824773</v>
      </c>
      <c r="AF51" s="71" t="str">
        <f t="shared" si="5"/>
        <v>СВ</v>
      </c>
      <c r="AG51" s="1">
        <f t="shared" si="6"/>
        <v>0.83683704487284227</v>
      </c>
      <c r="AH51" s="72">
        <f t="shared" si="7"/>
        <v>47</v>
      </c>
      <c r="AI51" s="73">
        <f t="shared" si="8"/>
        <v>56.833848684824773</v>
      </c>
      <c r="AJ51" s="1">
        <f>((1+COS(2*(AH51)))/2)*Y51</f>
        <v>147.70913878144887</v>
      </c>
      <c r="AK51" s="111"/>
      <c r="AL51" s="113"/>
    </row>
    <row r="52" spans="1:38" x14ac:dyDescent="0.3">
      <c r="A52" s="16">
        <v>43</v>
      </c>
      <c r="B52" s="12">
        <v>24172.833999999999</v>
      </c>
      <c r="C52" s="35">
        <v>11304.303</v>
      </c>
      <c r="D52" s="99" t="s">
        <v>12</v>
      </c>
      <c r="E52" s="101">
        <f>AVERAGE(B50:B59)</f>
        <v>24440.868900000001</v>
      </c>
      <c r="F52" s="103">
        <f>AVERAGE(C50:C59)</f>
        <v>11566.454099999999</v>
      </c>
      <c r="G52" s="116"/>
      <c r="H52" s="40" t="s">
        <v>81</v>
      </c>
      <c r="I52" s="45">
        <v>262.15100000000001</v>
      </c>
      <c r="J52" s="119"/>
      <c r="K52" s="121"/>
      <c r="L52" s="113"/>
      <c r="M52" s="56"/>
      <c r="N52" s="56"/>
      <c r="O52" s="56"/>
      <c r="P52" s="56"/>
      <c r="Q52" s="56"/>
      <c r="R52" s="56"/>
      <c r="S52" s="119"/>
      <c r="T52" s="119"/>
      <c r="U52" s="119"/>
      <c r="V52" s="119"/>
      <c r="W52" s="107"/>
      <c r="X52" s="110">
        <f t="shared" ref="X52" si="49">SQRT((B52-B53)^2+(C52-C53)^2)</f>
        <v>150.00061269541558</v>
      </c>
      <c r="Y52" s="109"/>
      <c r="Z52" s="68">
        <f t="shared" si="0"/>
        <v>101.65999999999985</v>
      </c>
      <c r="AA52" s="1">
        <f t="shared" si="0"/>
        <v>110.29700000000048</v>
      </c>
      <c r="AB52" s="10">
        <f t="shared" si="1"/>
        <v>1.08495966948653</v>
      </c>
      <c r="AC52" s="1">
        <f t="shared" si="2"/>
        <v>0.8261244629387835</v>
      </c>
      <c r="AD52" s="1">
        <f t="shared" si="3"/>
        <v>47</v>
      </c>
      <c r="AE52" s="69">
        <f t="shared" si="4"/>
        <v>20.006704734245488</v>
      </c>
      <c r="AF52" s="71" t="str">
        <f t="shared" si="5"/>
        <v>СВ</v>
      </c>
      <c r="AG52" s="1">
        <f t="shared" si="6"/>
        <v>0.8261244629387835</v>
      </c>
      <c r="AH52" s="72">
        <f t="shared" si="7"/>
        <v>47</v>
      </c>
      <c r="AI52" s="73">
        <f t="shared" si="8"/>
        <v>20.006704734245488</v>
      </c>
      <c r="AJ52" s="1">
        <f>((1+COS(2*(AH52)))/2)*X52</f>
        <v>147.71005583961164</v>
      </c>
      <c r="AK52" s="111"/>
      <c r="AL52" s="113"/>
    </row>
    <row r="53" spans="1:38" x14ac:dyDescent="0.3">
      <c r="A53" s="16">
        <v>44</v>
      </c>
      <c r="B53" s="12">
        <v>24274.493999999999</v>
      </c>
      <c r="C53" s="35">
        <v>11414.6</v>
      </c>
      <c r="D53" s="99"/>
      <c r="E53" s="101"/>
      <c r="F53" s="103"/>
      <c r="G53" s="116"/>
      <c r="H53" s="40" t="s">
        <v>82</v>
      </c>
      <c r="I53" s="45">
        <v>151.85400000000001</v>
      </c>
      <c r="J53" s="119"/>
      <c r="K53" s="121"/>
      <c r="L53" s="113"/>
      <c r="M53" s="56"/>
      <c r="N53" s="56"/>
      <c r="O53" s="56"/>
      <c r="P53" s="56"/>
      <c r="Q53" s="56"/>
      <c r="R53" s="56"/>
      <c r="S53" s="119"/>
      <c r="T53" s="119"/>
      <c r="U53" s="119"/>
      <c r="V53" s="119"/>
      <c r="W53" s="107"/>
      <c r="X53" s="105"/>
      <c r="Y53" s="109">
        <f t="shared" ref="Y53" si="50">SQRT((B53-B54)^2+(C53-C54)^2)</f>
        <v>150.0000000033356</v>
      </c>
      <c r="Z53" s="68">
        <f t="shared" si="0"/>
        <v>108.62000000000262</v>
      </c>
      <c r="AA53" s="1">
        <f t="shared" si="0"/>
        <v>103.44900000000052</v>
      </c>
      <c r="AB53" s="10">
        <f t="shared" si="1"/>
        <v>0.95239366599151198</v>
      </c>
      <c r="AC53" s="1">
        <f t="shared" si="2"/>
        <v>0.76101942089138686</v>
      </c>
      <c r="AD53" s="1">
        <f t="shared" si="3"/>
        <v>43</v>
      </c>
      <c r="AE53" s="69">
        <f t="shared" si="4"/>
        <v>36.192056673989725</v>
      </c>
      <c r="AF53" s="71" t="str">
        <f t="shared" si="5"/>
        <v>СВ</v>
      </c>
      <c r="AG53" s="1">
        <f t="shared" si="6"/>
        <v>0.76101942089138686</v>
      </c>
      <c r="AH53" s="72">
        <f t="shared" si="7"/>
        <v>43</v>
      </c>
      <c r="AI53" s="73">
        <f t="shared" si="8"/>
        <v>36.192056673989725</v>
      </c>
      <c r="AJ53" s="1">
        <f>((1+COS(2*(AH53)))/2)*Y53</f>
        <v>46.22261662979723</v>
      </c>
      <c r="AK53" s="111"/>
      <c r="AL53" s="113"/>
    </row>
    <row r="54" spans="1:38" ht="15" thickBot="1" x14ac:dyDescent="0.35">
      <c r="A54" s="16">
        <v>45</v>
      </c>
      <c r="B54" s="12">
        <v>24383.114000000001</v>
      </c>
      <c r="C54" s="35">
        <v>11518.049000000001</v>
      </c>
      <c r="D54" s="99"/>
      <c r="E54" s="101"/>
      <c r="F54" s="103"/>
      <c r="G54" s="116"/>
      <c r="H54" s="40" t="s">
        <v>83</v>
      </c>
      <c r="I54" s="45">
        <v>48.405000000000001</v>
      </c>
      <c r="J54" s="119"/>
      <c r="K54" s="121"/>
      <c r="L54" s="113"/>
      <c r="M54" s="56"/>
      <c r="N54" s="56"/>
      <c r="O54" s="56"/>
      <c r="P54" s="56"/>
      <c r="Q54" s="56"/>
      <c r="R54" s="56"/>
      <c r="S54" s="123"/>
      <c r="T54" s="123"/>
      <c r="U54" s="123"/>
      <c r="V54" s="119"/>
      <c r="W54" s="107"/>
      <c r="X54" s="110">
        <f t="shared" ref="X54" si="51">SQRT((B54-B55)^2+(C54-C55)^2)</f>
        <v>150.00000218999807</v>
      </c>
      <c r="Y54" s="109"/>
      <c r="Z54" s="68">
        <f t="shared" si="0"/>
        <v>108.27599999999802</v>
      </c>
      <c r="AA54" s="1">
        <f t="shared" si="0"/>
        <v>103.80899999999929</v>
      </c>
      <c r="AB54" s="10">
        <f t="shared" si="1"/>
        <v>0.95874432007094079</v>
      </c>
      <c r="AC54" s="1">
        <f t="shared" si="2"/>
        <v>0.76433896720608763</v>
      </c>
      <c r="AD54" s="1">
        <f t="shared" si="3"/>
        <v>43</v>
      </c>
      <c r="AE54" s="69">
        <f t="shared" si="4"/>
        <v>47.603816297823442</v>
      </c>
      <c r="AF54" s="71" t="str">
        <f t="shared" si="5"/>
        <v>СВ</v>
      </c>
      <c r="AG54" s="1">
        <f t="shared" si="6"/>
        <v>0.76433896720608763</v>
      </c>
      <c r="AH54" s="72">
        <f t="shared" si="7"/>
        <v>43</v>
      </c>
      <c r="AI54" s="73">
        <f t="shared" si="8"/>
        <v>47.603816297823442</v>
      </c>
      <c r="AJ54" s="1">
        <f>((1+COS(2*(AH54)))/2)*X54</f>
        <v>46.222617303618975</v>
      </c>
      <c r="AK54" s="111"/>
      <c r="AL54" s="113"/>
    </row>
    <row r="55" spans="1:38" x14ac:dyDescent="0.3">
      <c r="A55" s="16">
        <v>46</v>
      </c>
      <c r="B55" s="12">
        <v>24491.39</v>
      </c>
      <c r="C55" s="35">
        <v>11621.858</v>
      </c>
      <c r="D55" s="99"/>
      <c r="E55" s="101"/>
      <c r="F55" s="103"/>
      <c r="G55" s="116"/>
      <c r="H55" s="40" t="s">
        <v>84</v>
      </c>
      <c r="I55" s="45">
        <v>55.404000000000003</v>
      </c>
      <c r="J55" s="119"/>
      <c r="K55" s="121"/>
      <c r="L55" s="113"/>
      <c r="M55" s="56"/>
      <c r="N55" s="56"/>
      <c r="O55" s="56"/>
      <c r="P55" s="56"/>
      <c r="Q55" s="56"/>
      <c r="R55" s="56"/>
      <c r="S55" s="118">
        <v>959.77499999999998</v>
      </c>
      <c r="T55" s="118">
        <f>S55^2</f>
        <v>921168.05062499992</v>
      </c>
      <c r="U55" s="118">
        <f>G5*T55</f>
        <v>829051245.56249988</v>
      </c>
      <c r="V55" s="119"/>
      <c r="W55" s="107"/>
      <c r="X55" s="105"/>
      <c r="Y55" s="109">
        <f t="shared" ref="Y55" si="52">SQRT((B55-B56)^2+(C55-C56)^2)</f>
        <v>149.99930963174415</v>
      </c>
      <c r="Z55" s="68">
        <f t="shared" si="0"/>
        <v>108.22899999999936</v>
      </c>
      <c r="AA55" s="1">
        <f t="shared" si="0"/>
        <v>103.85699999999997</v>
      </c>
      <c r="AB55" s="10">
        <f t="shared" si="1"/>
        <v>0.95960417263395748</v>
      </c>
      <c r="AC55" s="1">
        <f t="shared" si="2"/>
        <v>0.76478680354232897</v>
      </c>
      <c r="AD55" s="1">
        <f t="shared" si="3"/>
        <v>43</v>
      </c>
      <c r="AE55" s="69">
        <f t="shared" si="4"/>
        <v>49.143364216577368</v>
      </c>
      <c r="AF55" s="71" t="str">
        <f t="shared" si="5"/>
        <v>СВ</v>
      </c>
      <c r="AG55" s="1">
        <f t="shared" si="6"/>
        <v>0.76478680354232897</v>
      </c>
      <c r="AH55" s="72">
        <f t="shared" si="7"/>
        <v>43</v>
      </c>
      <c r="AI55" s="73">
        <f t="shared" si="8"/>
        <v>49.143364216577368</v>
      </c>
      <c r="AJ55" s="1">
        <f>((1+COS(2*(AH55)))/2)*Y55</f>
        <v>46.222403891254544</v>
      </c>
      <c r="AK55" s="111"/>
      <c r="AL55" s="113"/>
    </row>
    <row r="56" spans="1:38" x14ac:dyDescent="0.3">
      <c r="A56" s="16">
        <v>47</v>
      </c>
      <c r="B56" s="12">
        <v>24599.618999999999</v>
      </c>
      <c r="C56" s="35">
        <v>11725.715</v>
      </c>
      <c r="D56" s="99"/>
      <c r="E56" s="101"/>
      <c r="F56" s="103"/>
      <c r="G56" s="116"/>
      <c r="H56" s="40" t="s">
        <v>85</v>
      </c>
      <c r="I56" s="45">
        <v>159.261</v>
      </c>
      <c r="J56" s="119"/>
      <c r="K56" s="121"/>
      <c r="L56" s="113"/>
      <c r="M56" s="56"/>
      <c r="N56" s="56"/>
      <c r="O56" s="56"/>
      <c r="P56" s="56"/>
      <c r="Q56" s="56"/>
      <c r="R56" s="56"/>
      <c r="S56" s="119"/>
      <c r="T56" s="119"/>
      <c r="U56" s="119"/>
      <c r="V56" s="119"/>
      <c r="W56" s="107"/>
      <c r="X56" s="110">
        <f t="shared" ref="X56" si="53">SQRT((B56-B57)^2+(C56-C57)^2)</f>
        <v>150.0004995858354</v>
      </c>
      <c r="Y56" s="109"/>
      <c r="Z56" s="68">
        <f t="shared" si="0"/>
        <v>108.07400000000052</v>
      </c>
      <c r="AA56" s="1">
        <f t="shared" si="0"/>
        <v>104.02000000000044</v>
      </c>
      <c r="AB56" s="10">
        <f t="shared" si="1"/>
        <v>0.96248866517386178</v>
      </c>
      <c r="AC56" s="1">
        <f t="shared" si="2"/>
        <v>0.76628632432263499</v>
      </c>
      <c r="AD56" s="1">
        <f t="shared" si="3"/>
        <v>43</v>
      </c>
      <c r="AE56" s="69">
        <f t="shared" si="4"/>
        <v>54.298336936799103</v>
      </c>
      <c r="AF56" s="71" t="str">
        <f t="shared" si="5"/>
        <v>СВ</v>
      </c>
      <c r="AG56" s="1">
        <f t="shared" si="6"/>
        <v>0.76628632432263499</v>
      </c>
      <c r="AH56" s="72">
        <f t="shared" si="7"/>
        <v>43</v>
      </c>
      <c r="AI56" s="73">
        <f t="shared" si="8"/>
        <v>54.298336936799103</v>
      </c>
      <c r="AJ56" s="1">
        <f>((1+COS(2*(AH56)))/2)*X56</f>
        <v>46.22277057653298</v>
      </c>
      <c r="AK56" s="111"/>
      <c r="AL56" s="113"/>
    </row>
    <row r="57" spans="1:38" x14ac:dyDescent="0.3">
      <c r="A57" s="16">
        <v>48</v>
      </c>
      <c r="B57" s="12">
        <v>24707.692999999999</v>
      </c>
      <c r="C57" s="35">
        <v>11829.735000000001</v>
      </c>
      <c r="D57" s="99"/>
      <c r="E57" s="101"/>
      <c r="F57" s="103"/>
      <c r="G57" s="116"/>
      <c r="H57" s="40" t="s">
        <v>86</v>
      </c>
      <c r="I57" s="45">
        <v>263.28100000000001</v>
      </c>
      <c r="J57" s="119"/>
      <c r="K57" s="121"/>
      <c r="L57" s="113"/>
      <c r="M57" s="56"/>
      <c r="N57" s="56"/>
      <c r="O57" s="56"/>
      <c r="P57" s="56"/>
      <c r="Q57" s="56"/>
      <c r="R57" s="56"/>
      <c r="S57" s="119"/>
      <c r="T57" s="119"/>
      <c r="U57" s="119"/>
      <c r="V57" s="119"/>
      <c r="W57" s="107"/>
      <c r="X57" s="105"/>
      <c r="Y57" s="109">
        <f t="shared" ref="Y57" si="54">SQRT((B57-B58)^2+(C57-C58)^2)</f>
        <v>149.99977909650329</v>
      </c>
      <c r="Z57" s="68">
        <f t="shared" si="0"/>
        <v>108.07300000000032</v>
      </c>
      <c r="AA57" s="1">
        <f t="shared" si="0"/>
        <v>104.01999999999862</v>
      </c>
      <c r="AB57" s="10">
        <f t="shared" si="1"/>
        <v>0.9624975710861946</v>
      </c>
      <c r="AC57" s="1">
        <f t="shared" si="2"/>
        <v>0.76629094742514914</v>
      </c>
      <c r="AD57" s="1">
        <f t="shared" si="3"/>
        <v>43</v>
      </c>
      <c r="AE57" s="69">
        <f t="shared" si="4"/>
        <v>54.314229992538401</v>
      </c>
      <c r="AF57" s="71" t="str">
        <f t="shared" si="5"/>
        <v>СВ</v>
      </c>
      <c r="AG57" s="1">
        <f t="shared" si="6"/>
        <v>0.76629094742514914</v>
      </c>
      <c r="AH57" s="72">
        <f t="shared" si="7"/>
        <v>43</v>
      </c>
      <c r="AI57" s="73">
        <f t="shared" si="8"/>
        <v>54.314229992538401</v>
      </c>
      <c r="AJ57" s="1">
        <f>((1+COS(2*(AH57)))/2)*Y57</f>
        <v>46.222548557185092</v>
      </c>
      <c r="AK57" s="111"/>
      <c r="AL57" s="113"/>
    </row>
    <row r="58" spans="1:38" ht="15" thickBot="1" x14ac:dyDescent="0.35">
      <c r="A58" s="15">
        <v>49</v>
      </c>
      <c r="B58" s="13">
        <v>24815.766</v>
      </c>
      <c r="C58" s="34">
        <v>11933.754999999999</v>
      </c>
      <c r="D58" s="99"/>
      <c r="E58" s="101"/>
      <c r="F58" s="103"/>
      <c r="G58" s="117"/>
      <c r="H58" s="43" t="s">
        <v>87</v>
      </c>
      <c r="I58" s="46">
        <v>367.37099999999998</v>
      </c>
      <c r="J58" s="123"/>
      <c r="K58" s="122"/>
      <c r="L58" s="113"/>
      <c r="M58" s="56"/>
      <c r="N58" s="56"/>
      <c r="O58" s="56"/>
      <c r="P58" s="56"/>
      <c r="Q58" s="56"/>
      <c r="R58" s="56"/>
      <c r="S58" s="119"/>
      <c r="T58" s="119"/>
      <c r="U58" s="119"/>
      <c r="V58" s="119"/>
      <c r="W58" s="107"/>
      <c r="X58" s="110">
        <f t="shared" ref="X58" si="55">SQRT((B58-B59)^2+(C58-C59)^2)</f>
        <v>80.000909426082629</v>
      </c>
      <c r="Y58" s="109"/>
      <c r="Z58" s="68">
        <f t="shared" si="0"/>
        <v>56.290000000000873</v>
      </c>
      <c r="AA58" s="1">
        <f t="shared" si="0"/>
        <v>56.847000000001572</v>
      </c>
      <c r="AB58" s="10">
        <f t="shared" si="1"/>
        <v>1.0098951856457752</v>
      </c>
      <c r="AC58" s="1">
        <f t="shared" si="2"/>
        <v>0.79032135828358618</v>
      </c>
      <c r="AD58" s="1">
        <f t="shared" si="3"/>
        <v>45</v>
      </c>
      <c r="AE58" s="69">
        <f t="shared" si="4"/>
        <v>16.924697321765478</v>
      </c>
      <c r="AF58" s="71" t="str">
        <f t="shared" si="5"/>
        <v>СВ</v>
      </c>
      <c r="AG58" s="1">
        <f t="shared" si="6"/>
        <v>0.79032135828358618</v>
      </c>
      <c r="AH58" s="72">
        <f t="shared" si="7"/>
        <v>45</v>
      </c>
      <c r="AI58" s="73">
        <f t="shared" si="8"/>
        <v>16.924697321765478</v>
      </c>
      <c r="AJ58" s="1">
        <f>((1+COS(2*(AH58)))/2)*X58</f>
        <v>22.077306322957789</v>
      </c>
      <c r="AK58" s="111"/>
      <c r="AL58" s="113"/>
    </row>
    <row r="59" spans="1:38" x14ac:dyDescent="0.3">
      <c r="A59" s="15">
        <v>50</v>
      </c>
      <c r="B59" s="13">
        <v>24872.056</v>
      </c>
      <c r="C59" s="34">
        <v>11990.602000000001</v>
      </c>
      <c r="D59" s="99"/>
      <c r="E59" s="101"/>
      <c r="F59" s="103"/>
      <c r="G59" s="115" t="s">
        <v>88</v>
      </c>
      <c r="H59" s="41" t="s">
        <v>89</v>
      </c>
      <c r="I59" s="44">
        <v>535.62699999999995</v>
      </c>
      <c r="J59" s="118">
        <f>SUM(I59:I74)</f>
        <v>4911.259</v>
      </c>
      <c r="K59" s="120">
        <f>J59^2</f>
        <v>24120464.965080999</v>
      </c>
      <c r="L59" s="113"/>
      <c r="M59" s="56"/>
      <c r="N59" s="56"/>
      <c r="O59" s="56"/>
      <c r="P59" s="56"/>
      <c r="Q59" s="56"/>
      <c r="R59" s="56"/>
      <c r="S59" s="119"/>
      <c r="T59" s="119"/>
      <c r="U59" s="119"/>
      <c r="V59" s="119"/>
      <c r="W59" s="107"/>
      <c r="X59" s="105"/>
      <c r="Y59" s="109">
        <f t="shared" ref="Y59" si="56">SQRT((B59-B60)^2+(C59-C60)^2)</f>
        <v>91.104793836547287</v>
      </c>
      <c r="Z59" s="68">
        <f t="shared" si="0"/>
        <v>66.903999999998632</v>
      </c>
      <c r="AA59" s="1">
        <f t="shared" si="0"/>
        <v>61.837999999999738</v>
      </c>
      <c r="AB59" s="10">
        <f t="shared" si="1"/>
        <v>0.92427956474950679</v>
      </c>
      <c r="AC59" s="1">
        <f t="shared" si="2"/>
        <v>0.7460684368533167</v>
      </c>
      <c r="AD59" s="1">
        <f t="shared" si="3"/>
        <v>42</v>
      </c>
      <c r="AE59" s="69">
        <f t="shared" si="4"/>
        <v>44.794359577056753</v>
      </c>
      <c r="AF59" s="71" t="str">
        <f t="shared" si="5"/>
        <v>СВ</v>
      </c>
      <c r="AG59" s="1">
        <f t="shared" si="6"/>
        <v>0.7460684368533167</v>
      </c>
      <c r="AH59" s="72">
        <f t="shared" si="7"/>
        <v>42</v>
      </c>
      <c r="AI59" s="73">
        <f t="shared" si="8"/>
        <v>44.794359577056753</v>
      </c>
      <c r="AJ59" s="1">
        <f>((1+COS(2*(AH59)))/2)*Y59</f>
        <v>14.575696733527282</v>
      </c>
      <c r="AK59" s="111"/>
      <c r="AL59" s="113"/>
    </row>
    <row r="60" spans="1:38" x14ac:dyDescent="0.3">
      <c r="A60" s="16">
        <v>51</v>
      </c>
      <c r="B60" s="12">
        <v>24938.959999999999</v>
      </c>
      <c r="C60" s="35">
        <v>12052.44</v>
      </c>
      <c r="D60" s="99" t="s">
        <v>13</v>
      </c>
      <c r="E60" s="101">
        <f>AVERAGE(B58:B75)</f>
        <v>24814.641611111114</v>
      </c>
      <c r="F60" s="103">
        <f>AVERAGE(C58:C75)</f>
        <v>12526.228999999999</v>
      </c>
      <c r="G60" s="116"/>
      <c r="H60" s="40" t="s">
        <v>90</v>
      </c>
      <c r="I60" s="45">
        <v>473.78899999999999</v>
      </c>
      <c r="J60" s="119"/>
      <c r="K60" s="121"/>
      <c r="L60" s="113"/>
      <c r="M60" s="56"/>
      <c r="N60" s="56"/>
      <c r="O60" s="56"/>
      <c r="P60" s="56"/>
      <c r="Q60" s="56"/>
      <c r="R60" s="56"/>
      <c r="S60" s="119"/>
      <c r="T60" s="119"/>
      <c r="U60" s="119"/>
      <c r="V60" s="119"/>
      <c r="W60" s="107"/>
      <c r="X60" s="110">
        <f t="shared" ref="X60" si="57">SQRT((B60-B61)^2+(C60-C61)^2)</f>
        <v>33.846382524577507</v>
      </c>
      <c r="Y60" s="109"/>
      <c r="Z60" s="68">
        <f t="shared" si="0"/>
        <v>-23.163000000000466</v>
      </c>
      <c r="AA60" s="1">
        <f t="shared" si="0"/>
        <v>24.679000000000087</v>
      </c>
      <c r="AB60" s="10">
        <f t="shared" si="1"/>
        <v>1.0654492077882654</v>
      </c>
      <c r="AC60" s="1">
        <f t="shared" si="2"/>
        <v>0.81707520233865816</v>
      </c>
      <c r="AD60" s="1">
        <f t="shared" si="3"/>
        <v>46</v>
      </c>
      <c r="AE60" s="69">
        <f t="shared" si="4"/>
        <v>48.89763832817323</v>
      </c>
      <c r="AF60" s="71" t="str">
        <f t="shared" si="5"/>
        <v>ЮВ</v>
      </c>
      <c r="AG60" s="1">
        <f t="shared" si="6"/>
        <v>2.3245174512511348</v>
      </c>
      <c r="AH60" s="72">
        <f t="shared" si="7"/>
        <v>133</v>
      </c>
      <c r="AI60" s="73">
        <f t="shared" si="8"/>
        <v>11.10236167182677</v>
      </c>
      <c r="AJ60" s="1">
        <f>((1+COS(2*(AH60)))/2)*X60</f>
        <v>8.2889288023823706</v>
      </c>
      <c r="AK60" s="111"/>
      <c r="AL60" s="113"/>
    </row>
    <row r="61" spans="1:38" x14ac:dyDescent="0.3">
      <c r="A61" s="16">
        <v>52</v>
      </c>
      <c r="B61" s="12">
        <v>24915.796999999999</v>
      </c>
      <c r="C61" s="35">
        <v>12077.119000000001</v>
      </c>
      <c r="D61" s="99"/>
      <c r="E61" s="101"/>
      <c r="F61" s="103"/>
      <c r="G61" s="116"/>
      <c r="H61" s="40" t="s">
        <v>91</v>
      </c>
      <c r="I61" s="45">
        <v>449.11</v>
      </c>
      <c r="J61" s="119"/>
      <c r="K61" s="121"/>
      <c r="L61" s="113"/>
      <c r="M61" s="56"/>
      <c r="N61" s="56"/>
      <c r="O61" s="56"/>
      <c r="P61" s="56"/>
      <c r="Q61" s="56"/>
      <c r="R61" s="56"/>
      <c r="S61" s="119"/>
      <c r="T61" s="119"/>
      <c r="U61" s="119"/>
      <c r="V61" s="119"/>
      <c r="W61" s="107"/>
      <c r="X61" s="105"/>
      <c r="Y61" s="109">
        <f t="shared" ref="Y61" si="58">SQRT((B61-B62)^2+(C61-C62)^2)</f>
        <v>87.672150840503278</v>
      </c>
      <c r="Z61" s="68">
        <f t="shared" si="0"/>
        <v>36.968000000000757</v>
      </c>
      <c r="AA61" s="1">
        <f t="shared" si="0"/>
        <v>79.496999999999389</v>
      </c>
      <c r="AB61" s="10">
        <f t="shared" si="1"/>
        <v>2.1504273966673275</v>
      </c>
      <c r="AC61" s="1">
        <f t="shared" si="2"/>
        <v>1.1355190546354157</v>
      </c>
      <c r="AD61" s="1">
        <f t="shared" si="3"/>
        <v>65</v>
      </c>
      <c r="AE61" s="69">
        <f t="shared" si="4"/>
        <v>3.6269632376672689</v>
      </c>
      <c r="AF61" s="71" t="str">
        <f t="shared" si="5"/>
        <v>СВ</v>
      </c>
      <c r="AG61" s="1">
        <f t="shared" si="6"/>
        <v>1.1355190546354157</v>
      </c>
      <c r="AH61" s="72">
        <f t="shared" si="7"/>
        <v>65</v>
      </c>
      <c r="AI61" s="73">
        <f t="shared" si="8"/>
        <v>3.6269632376672689</v>
      </c>
      <c r="AJ61" s="1">
        <f>((1+COS(2*(AH61)))/2)*Y61</f>
        <v>27.735464957234996</v>
      </c>
      <c r="AK61" s="111"/>
      <c r="AL61" s="113"/>
    </row>
    <row r="62" spans="1:38" x14ac:dyDescent="0.3">
      <c r="A62" s="16">
        <v>53</v>
      </c>
      <c r="B62" s="12">
        <v>24952.764999999999</v>
      </c>
      <c r="C62" s="35">
        <v>12156.616</v>
      </c>
      <c r="D62" s="99"/>
      <c r="E62" s="101"/>
      <c r="F62" s="103"/>
      <c r="G62" s="116"/>
      <c r="H62" s="40" t="s">
        <v>92</v>
      </c>
      <c r="I62" s="45">
        <v>369.613</v>
      </c>
      <c r="J62" s="119"/>
      <c r="K62" s="121"/>
      <c r="L62" s="113"/>
      <c r="M62" s="56"/>
      <c r="N62" s="56"/>
      <c r="O62" s="56"/>
      <c r="P62" s="56"/>
      <c r="Q62" s="56"/>
      <c r="R62" s="56"/>
      <c r="S62" s="119"/>
      <c r="T62" s="119"/>
      <c r="U62" s="119"/>
      <c r="V62" s="119"/>
      <c r="W62" s="107"/>
      <c r="X62" s="110">
        <f t="shared" ref="X62" si="59">SQRT((B62-B63)^2+(C62-C63)^2)</f>
        <v>53.357426193548299</v>
      </c>
      <c r="Y62" s="109"/>
      <c r="Z62" s="68">
        <f t="shared" si="0"/>
        <v>3.5529999999998836</v>
      </c>
      <c r="AA62" s="1">
        <f t="shared" si="0"/>
        <v>53.238999999999578</v>
      </c>
      <c r="AB62" s="10">
        <f t="shared" si="1"/>
        <v>14.984238671545546</v>
      </c>
      <c r="AC62" s="1">
        <f t="shared" si="2"/>
        <v>1.5041583495955626</v>
      </c>
      <c r="AD62" s="1">
        <f t="shared" si="3"/>
        <v>86</v>
      </c>
      <c r="AE62" s="69">
        <f t="shared" si="4"/>
        <v>10.915509071348879</v>
      </c>
      <c r="AF62" s="71" t="str">
        <f t="shared" si="5"/>
        <v>СВ</v>
      </c>
      <c r="AG62" s="1">
        <f t="shared" si="6"/>
        <v>1.5041583495955626</v>
      </c>
      <c r="AH62" s="72">
        <f t="shared" si="7"/>
        <v>86</v>
      </c>
      <c r="AI62" s="73">
        <f t="shared" si="8"/>
        <v>10.915509071348879</v>
      </c>
      <c r="AJ62" s="1">
        <f>((1+COS(2*(AH62)))/2)*X62</f>
        <v>7.8555202142501752</v>
      </c>
      <c r="AK62" s="111"/>
      <c r="AL62" s="113"/>
    </row>
    <row r="63" spans="1:38" x14ac:dyDescent="0.3">
      <c r="A63" s="16">
        <v>54</v>
      </c>
      <c r="B63" s="12">
        <v>24956.317999999999</v>
      </c>
      <c r="C63" s="35">
        <v>12209.855</v>
      </c>
      <c r="D63" s="99"/>
      <c r="E63" s="101"/>
      <c r="F63" s="103"/>
      <c r="G63" s="116"/>
      <c r="H63" s="40" t="s">
        <v>93</v>
      </c>
      <c r="I63" s="45">
        <v>316.37400000000002</v>
      </c>
      <c r="J63" s="119"/>
      <c r="K63" s="121"/>
      <c r="L63" s="113"/>
      <c r="M63" s="56"/>
      <c r="N63" s="56"/>
      <c r="O63" s="56"/>
      <c r="P63" s="56"/>
      <c r="Q63" s="56"/>
      <c r="R63" s="56"/>
      <c r="S63" s="119"/>
      <c r="T63" s="119"/>
      <c r="U63" s="119"/>
      <c r="V63" s="119"/>
      <c r="W63" s="107"/>
      <c r="X63" s="105"/>
      <c r="Y63" s="109">
        <f t="shared" ref="Y63" si="60">SQRT((B63-B64)^2+(C63-C64)^2)</f>
        <v>105.85558967291107</v>
      </c>
      <c r="Z63" s="68">
        <f t="shared" si="0"/>
        <v>-69.380999999997584</v>
      </c>
      <c r="AA63" s="1">
        <f t="shared" si="0"/>
        <v>79.94800000000032</v>
      </c>
      <c r="AB63" s="10">
        <f t="shared" si="1"/>
        <v>1.1523039448840908</v>
      </c>
      <c r="AC63" s="1">
        <f t="shared" si="2"/>
        <v>0.85604361710761356</v>
      </c>
      <c r="AD63" s="1">
        <f t="shared" si="3"/>
        <v>49</v>
      </c>
      <c r="AE63" s="69">
        <f t="shared" si="4"/>
        <v>2.861180362757807</v>
      </c>
      <c r="AF63" s="71" t="str">
        <f t="shared" si="5"/>
        <v>ЮВ</v>
      </c>
      <c r="AG63" s="1">
        <f t="shared" si="6"/>
        <v>2.2855490364821796</v>
      </c>
      <c r="AH63" s="72">
        <f t="shared" si="7"/>
        <v>130</v>
      </c>
      <c r="AI63" s="73">
        <f t="shared" si="8"/>
        <v>57.138819637243046</v>
      </c>
      <c r="AJ63" s="1">
        <f>((1+COS(2*(AH63)))/2)*Y63</f>
        <v>14.280228296272643</v>
      </c>
      <c r="AK63" s="111"/>
      <c r="AL63" s="113"/>
    </row>
    <row r="64" spans="1:38" x14ac:dyDescent="0.3">
      <c r="A64" s="16">
        <v>55</v>
      </c>
      <c r="B64" s="12">
        <v>24886.937000000002</v>
      </c>
      <c r="C64" s="35">
        <v>12289.803</v>
      </c>
      <c r="D64" s="99"/>
      <c r="E64" s="101"/>
      <c r="F64" s="103"/>
      <c r="G64" s="116"/>
      <c r="H64" s="40" t="s">
        <v>94</v>
      </c>
      <c r="I64" s="45">
        <v>236.42599999999999</v>
      </c>
      <c r="J64" s="119"/>
      <c r="K64" s="121"/>
      <c r="L64" s="113"/>
      <c r="M64" s="56"/>
      <c r="N64" s="56"/>
      <c r="O64" s="56"/>
      <c r="P64" s="56"/>
      <c r="Q64" s="56"/>
      <c r="R64" s="56"/>
      <c r="S64" s="119"/>
      <c r="T64" s="119"/>
      <c r="U64" s="119"/>
      <c r="V64" s="119"/>
      <c r="W64" s="107"/>
      <c r="X64" s="110">
        <f t="shared" ref="X64" si="61">SQRT((B64-B65)^2+(C64-C65)^2)</f>
        <v>150.00073713152352</v>
      </c>
      <c r="Y64" s="109"/>
      <c r="Z64" s="68">
        <f t="shared" si="0"/>
        <v>-67.724000000001979</v>
      </c>
      <c r="AA64" s="1">
        <f t="shared" si="0"/>
        <v>133.84200000000055</v>
      </c>
      <c r="AB64" s="10">
        <f t="shared" si="1"/>
        <v>1.9762861024156375</v>
      </c>
      <c r="AC64" s="1">
        <f t="shared" si="2"/>
        <v>1.102360556132266</v>
      </c>
      <c r="AD64" s="1">
        <f t="shared" si="3"/>
        <v>63</v>
      </c>
      <c r="AE64" s="69">
        <f t="shared" si="4"/>
        <v>9.6364420843873688</v>
      </c>
      <c r="AF64" s="71" t="str">
        <f t="shared" si="5"/>
        <v>ЮВ</v>
      </c>
      <c r="AG64" s="1">
        <f t="shared" si="6"/>
        <v>2.0392320974575271</v>
      </c>
      <c r="AH64" s="72">
        <f t="shared" si="7"/>
        <v>116</v>
      </c>
      <c r="AI64" s="73">
        <f t="shared" si="8"/>
        <v>50.363557915612205</v>
      </c>
      <c r="AJ64" s="1">
        <f>((1+COS(2*(AH64)))/2)*X64</f>
        <v>141.59940357943896</v>
      </c>
      <c r="AK64" s="111"/>
      <c r="AL64" s="113"/>
    </row>
    <row r="65" spans="1:38" x14ac:dyDescent="0.3">
      <c r="A65" s="16">
        <v>56</v>
      </c>
      <c r="B65" s="12">
        <v>24819.213</v>
      </c>
      <c r="C65" s="35">
        <v>12423.645</v>
      </c>
      <c r="D65" s="99"/>
      <c r="E65" s="101"/>
      <c r="F65" s="103"/>
      <c r="G65" s="116"/>
      <c r="H65" s="40" t="s">
        <v>95</v>
      </c>
      <c r="I65" s="45">
        <v>102.584</v>
      </c>
      <c r="J65" s="119"/>
      <c r="K65" s="121"/>
      <c r="L65" s="113"/>
      <c r="M65" s="56"/>
      <c r="N65" s="56"/>
      <c r="O65" s="56"/>
      <c r="P65" s="56"/>
      <c r="Q65" s="56"/>
      <c r="R65" s="56"/>
      <c r="S65" s="119"/>
      <c r="T65" s="119"/>
      <c r="U65" s="119"/>
      <c r="V65" s="119"/>
      <c r="W65" s="107"/>
      <c r="X65" s="105"/>
      <c r="Y65" s="109">
        <f t="shared" ref="Y65" si="62">SQRT((B65-B66)^2+(C65-C66)^2)</f>
        <v>149.99983601657652</v>
      </c>
      <c r="Z65" s="68">
        <f t="shared" si="0"/>
        <v>-67.800999999999476</v>
      </c>
      <c r="AA65" s="1">
        <f t="shared" si="0"/>
        <v>133.80199999999968</v>
      </c>
      <c r="AB65" s="10">
        <f t="shared" si="1"/>
        <v>1.9734517190012053</v>
      </c>
      <c r="AC65" s="1">
        <f t="shared" si="2"/>
        <v>1.1017821230213161</v>
      </c>
      <c r="AD65" s="1">
        <f t="shared" si="3"/>
        <v>63</v>
      </c>
      <c r="AE65" s="69">
        <f t="shared" si="4"/>
        <v>7.6479355251039749</v>
      </c>
      <c r="AF65" s="71" t="str">
        <f t="shared" si="5"/>
        <v>ЮВ</v>
      </c>
      <c r="AG65" s="1">
        <f t="shared" si="6"/>
        <v>2.0398105305684773</v>
      </c>
      <c r="AH65" s="72">
        <f t="shared" si="7"/>
        <v>116</v>
      </c>
      <c r="AI65" s="73">
        <f t="shared" si="8"/>
        <v>52.352064474896451</v>
      </c>
      <c r="AJ65" s="1">
        <f>((1+COS(2*(AH65)))/2)*Y65</f>
        <v>141.59855293469218</v>
      </c>
      <c r="AK65" s="111"/>
      <c r="AL65" s="113"/>
    </row>
    <row r="66" spans="1:38" ht="15" thickBot="1" x14ac:dyDescent="0.35">
      <c r="A66" s="16">
        <v>57</v>
      </c>
      <c r="B66" s="12">
        <v>24751.412</v>
      </c>
      <c r="C66" s="35">
        <v>12557.447</v>
      </c>
      <c r="D66" s="99"/>
      <c r="E66" s="101"/>
      <c r="F66" s="103"/>
      <c r="G66" s="116"/>
      <c r="H66" s="40" t="s">
        <v>96</v>
      </c>
      <c r="I66" s="45">
        <v>31.218</v>
      </c>
      <c r="J66" s="119"/>
      <c r="K66" s="121"/>
      <c r="L66" s="113"/>
      <c r="M66" s="56"/>
      <c r="N66" s="56"/>
      <c r="O66" s="56"/>
      <c r="P66" s="56"/>
      <c r="Q66" s="56"/>
      <c r="R66" s="56"/>
      <c r="S66" s="123"/>
      <c r="T66" s="123"/>
      <c r="U66" s="123"/>
      <c r="V66" s="119"/>
      <c r="W66" s="107"/>
      <c r="X66" s="110">
        <f t="shared" ref="X66" si="63">SQRT((B66-B67)^2+(C66-C67)^2)</f>
        <v>92.964667116062174</v>
      </c>
      <c r="Y66" s="109"/>
      <c r="Z66" s="68">
        <f t="shared" si="0"/>
        <v>-42.044000000001688</v>
      </c>
      <c r="AA66" s="1">
        <f t="shared" si="0"/>
        <v>82.914000000000669</v>
      </c>
      <c r="AB66" s="10">
        <f t="shared" si="1"/>
        <v>1.9720768718484765</v>
      </c>
      <c r="AC66" s="1">
        <f t="shared" si="2"/>
        <v>1.1015010715596572</v>
      </c>
      <c r="AD66" s="1">
        <f t="shared" si="3"/>
        <v>63</v>
      </c>
      <c r="AE66" s="69">
        <f t="shared" si="4"/>
        <v>6.6817517703618989</v>
      </c>
      <c r="AF66" s="71" t="str">
        <f t="shared" si="5"/>
        <v>ЮВ</v>
      </c>
      <c r="AG66" s="1">
        <f t="shared" si="6"/>
        <v>2.040091582030136</v>
      </c>
      <c r="AH66" s="72">
        <f t="shared" si="7"/>
        <v>116</v>
      </c>
      <c r="AI66" s="73">
        <f t="shared" si="8"/>
        <v>53.318248229638527</v>
      </c>
      <c r="AJ66" s="1">
        <f>((1+COS(2*(AH66)))/2)*X66</f>
        <v>87.757844856810692</v>
      </c>
      <c r="AK66" s="111"/>
      <c r="AL66" s="113"/>
    </row>
    <row r="67" spans="1:38" x14ac:dyDescent="0.3">
      <c r="A67" s="16">
        <v>58</v>
      </c>
      <c r="B67" s="12">
        <v>24709.367999999999</v>
      </c>
      <c r="C67" s="35">
        <v>12640.361000000001</v>
      </c>
      <c r="D67" s="99"/>
      <c r="E67" s="101"/>
      <c r="F67" s="103"/>
      <c r="G67" s="116"/>
      <c r="H67" s="40" t="s">
        <v>97</v>
      </c>
      <c r="I67" s="45">
        <v>114.13200000000001</v>
      </c>
      <c r="J67" s="119"/>
      <c r="K67" s="121"/>
      <c r="L67" s="113"/>
      <c r="M67" s="56"/>
      <c r="N67" s="56"/>
      <c r="O67" s="56"/>
      <c r="P67" s="56"/>
      <c r="Q67" s="56"/>
      <c r="R67" s="56"/>
      <c r="S67" s="118">
        <v>858.49699999999996</v>
      </c>
      <c r="T67" s="118">
        <f>S67^2</f>
        <v>737017.09900899988</v>
      </c>
      <c r="U67" s="118">
        <f>G5*T67</f>
        <v>663315389.10809994</v>
      </c>
      <c r="V67" s="119"/>
      <c r="W67" s="107"/>
      <c r="X67" s="105"/>
      <c r="Y67" s="109">
        <f t="shared" ref="Y67" si="64">SQRT((B67-B68)^2+(C67-C68)^2)</f>
        <v>33.912733685153896</v>
      </c>
      <c r="Z67" s="68">
        <f t="shared" si="0"/>
        <v>31.941000000002532</v>
      </c>
      <c r="AA67" s="1">
        <f t="shared" si="0"/>
        <v>-11.395000000000437</v>
      </c>
      <c r="AB67" s="10">
        <f t="shared" si="1"/>
        <v>0.35675151059764981</v>
      </c>
      <c r="AC67" s="1">
        <f t="shared" si="2"/>
        <v>0.34267682083308576</v>
      </c>
      <c r="AD67" s="1">
        <f t="shared" si="3"/>
        <v>19</v>
      </c>
      <c r="AE67" s="69">
        <f t="shared" si="4"/>
        <v>38.036134241789838</v>
      </c>
      <c r="AF67" s="71" t="str">
        <f t="shared" si="5"/>
        <v>СЗ</v>
      </c>
      <c r="AG67" s="1">
        <f t="shared" si="6"/>
        <v>5.9405084863465003</v>
      </c>
      <c r="AH67" s="72">
        <f t="shared" si="7"/>
        <v>340</v>
      </c>
      <c r="AI67" s="73">
        <f t="shared" si="8"/>
        <v>21.963865758209522</v>
      </c>
      <c r="AJ67" s="1">
        <f>((1+COS(2*(AH67)))/2)*Y67</f>
        <v>19.570900965690203</v>
      </c>
      <c r="AK67" s="111"/>
      <c r="AL67" s="113"/>
    </row>
    <row r="68" spans="1:38" x14ac:dyDescent="0.3">
      <c r="A68" s="16">
        <v>59</v>
      </c>
      <c r="B68" s="12">
        <v>24741.309000000001</v>
      </c>
      <c r="C68" s="35">
        <v>12628.966</v>
      </c>
      <c r="D68" s="99"/>
      <c r="E68" s="101"/>
      <c r="F68" s="103"/>
      <c r="G68" s="116"/>
      <c r="H68" s="40" t="s">
        <v>98</v>
      </c>
      <c r="I68" s="45">
        <v>102.73699999999999</v>
      </c>
      <c r="J68" s="119"/>
      <c r="K68" s="121"/>
      <c r="L68" s="113"/>
      <c r="M68" s="56"/>
      <c r="N68" s="56"/>
      <c r="O68" s="56"/>
      <c r="P68" s="56"/>
      <c r="Q68" s="56"/>
      <c r="R68" s="56"/>
      <c r="S68" s="119"/>
      <c r="T68" s="119"/>
      <c r="U68" s="119"/>
      <c r="V68" s="119"/>
      <c r="W68" s="107"/>
      <c r="X68" s="110">
        <f t="shared" ref="X68" si="65">SQRT((B68-B69)^2+(C68-C69)^2)</f>
        <v>38.213950646328442</v>
      </c>
      <c r="Y68" s="109"/>
      <c r="Z68" s="68">
        <f t="shared" si="0"/>
        <v>-11.690000000002328</v>
      </c>
      <c r="AA68" s="1">
        <f t="shared" si="0"/>
        <v>36.381999999999607</v>
      </c>
      <c r="AB68" s="10">
        <f t="shared" si="1"/>
        <v>3.1122326775014852</v>
      </c>
      <c r="AC68" s="1">
        <f t="shared" si="2"/>
        <v>1.2599030371756994</v>
      </c>
      <c r="AD68" s="1">
        <f t="shared" si="3"/>
        <v>72</v>
      </c>
      <c r="AE68" s="69">
        <f t="shared" si="4"/>
        <v>11.227597552897919</v>
      </c>
      <c r="AF68" s="71" t="str">
        <f t="shared" si="5"/>
        <v>ЮВ</v>
      </c>
      <c r="AG68" s="1">
        <f t="shared" si="6"/>
        <v>1.8816896164140937</v>
      </c>
      <c r="AH68" s="72">
        <f t="shared" si="7"/>
        <v>107</v>
      </c>
      <c r="AI68" s="73">
        <f t="shared" si="8"/>
        <v>48.772402447102081</v>
      </c>
      <c r="AJ68" s="1">
        <f>((1+COS(2*(AH68)))/2)*X68</f>
        <v>36.909162314076795</v>
      </c>
      <c r="AK68" s="111"/>
      <c r="AL68" s="113"/>
    </row>
    <row r="69" spans="1:38" x14ac:dyDescent="0.3">
      <c r="A69" s="16">
        <v>60</v>
      </c>
      <c r="B69" s="12">
        <v>24729.618999999999</v>
      </c>
      <c r="C69" s="35">
        <v>12665.348</v>
      </c>
      <c r="D69" s="99"/>
      <c r="E69" s="101"/>
      <c r="F69" s="103"/>
      <c r="G69" s="116"/>
      <c r="H69" s="40" t="s">
        <v>99</v>
      </c>
      <c r="I69" s="45">
        <v>139.119</v>
      </c>
      <c r="J69" s="119"/>
      <c r="K69" s="121"/>
      <c r="L69" s="113"/>
      <c r="M69" s="56"/>
      <c r="N69" s="56"/>
      <c r="O69" s="56"/>
      <c r="P69" s="56"/>
      <c r="Q69" s="56"/>
      <c r="R69" s="56"/>
      <c r="S69" s="119"/>
      <c r="T69" s="119"/>
      <c r="U69" s="119"/>
      <c r="V69" s="119"/>
      <c r="W69" s="107"/>
      <c r="X69" s="105"/>
      <c r="Y69" s="109">
        <f t="shared" ref="Y69" si="66">SQRT((B69-B70)^2+(C69-C70)^2)</f>
        <v>84.292041344364435</v>
      </c>
      <c r="Z69" s="68">
        <f t="shared" si="0"/>
        <v>25.397000000000844</v>
      </c>
      <c r="AA69" s="1">
        <f t="shared" si="0"/>
        <v>80.375</v>
      </c>
      <c r="AB69" s="10">
        <f t="shared" si="1"/>
        <v>3.1647438673858064</v>
      </c>
      <c r="AC69" s="1">
        <f t="shared" si="2"/>
        <v>1.2647429994353843</v>
      </c>
      <c r="AD69" s="1">
        <f t="shared" si="3"/>
        <v>72</v>
      </c>
      <c r="AE69" s="69">
        <f t="shared" si="4"/>
        <v>27.866162181850598</v>
      </c>
      <c r="AF69" s="71" t="str">
        <f t="shared" si="5"/>
        <v>СВ</v>
      </c>
      <c r="AG69" s="1">
        <f t="shared" si="6"/>
        <v>1.2647429994353843</v>
      </c>
      <c r="AH69" s="72">
        <f t="shared" si="7"/>
        <v>72</v>
      </c>
      <c r="AI69" s="73">
        <f t="shared" si="8"/>
        <v>27.866162181850598</v>
      </c>
      <c r="AJ69" s="1">
        <f>((1+COS(2*(AH69)))/2)*Y69</f>
        <v>78.861417044609183</v>
      </c>
      <c r="AK69" s="111"/>
      <c r="AL69" s="113"/>
    </row>
    <row r="70" spans="1:38" x14ac:dyDescent="0.3">
      <c r="A70" s="16">
        <v>61</v>
      </c>
      <c r="B70" s="12">
        <v>24755.016</v>
      </c>
      <c r="C70" s="35">
        <v>12745.723</v>
      </c>
      <c r="D70" s="99"/>
      <c r="E70" s="101"/>
      <c r="F70" s="103"/>
      <c r="G70" s="116"/>
      <c r="H70" s="40" t="s">
        <v>100</v>
      </c>
      <c r="I70" s="45">
        <v>219.494</v>
      </c>
      <c r="J70" s="119"/>
      <c r="K70" s="121"/>
      <c r="L70" s="113"/>
      <c r="M70" s="56"/>
      <c r="N70" s="56"/>
      <c r="O70" s="56"/>
      <c r="P70" s="56"/>
      <c r="Q70" s="56"/>
      <c r="R70" s="56"/>
      <c r="S70" s="119"/>
      <c r="T70" s="119"/>
      <c r="U70" s="119"/>
      <c r="V70" s="119"/>
      <c r="W70" s="107"/>
      <c r="X70" s="110">
        <f t="shared" ref="X70" si="67">SQRT((B70-B71)^2+(C70-C71)^2)</f>
        <v>155.47096225662219</v>
      </c>
      <c r="Y70" s="109"/>
      <c r="Z70" s="68">
        <f t="shared" si="0"/>
        <v>-66.370999999999185</v>
      </c>
      <c r="AA70" s="1">
        <f t="shared" si="0"/>
        <v>140.59200000000055</v>
      </c>
      <c r="AB70" s="10">
        <f t="shared" si="1"/>
        <v>2.1182745476187232</v>
      </c>
      <c r="AC70" s="1">
        <f t="shared" si="2"/>
        <v>1.1297312314490051</v>
      </c>
      <c r="AD70" s="1">
        <f t="shared" si="3"/>
        <v>64</v>
      </c>
      <c r="AE70" s="69">
        <f t="shared" si="4"/>
        <v>43.729892768710386</v>
      </c>
      <c r="AF70" s="71" t="str">
        <f t="shared" si="5"/>
        <v>ЮВ</v>
      </c>
      <c r="AG70" s="1">
        <f t="shared" si="6"/>
        <v>2.0118614221407878</v>
      </c>
      <c r="AH70" s="72">
        <f t="shared" si="7"/>
        <v>115</v>
      </c>
      <c r="AI70" s="73">
        <f t="shared" si="8"/>
        <v>16.270107231288762</v>
      </c>
      <c r="AJ70" s="1">
        <f>((1+COS(2*(AH70)))/2)*X70</f>
        <v>16.503558121714455</v>
      </c>
      <c r="AK70" s="111"/>
      <c r="AL70" s="113"/>
    </row>
    <row r="71" spans="1:38" x14ac:dyDescent="0.3">
      <c r="A71" s="16">
        <v>62</v>
      </c>
      <c r="B71" s="12">
        <v>24688.645</v>
      </c>
      <c r="C71" s="35">
        <v>12886.315000000001</v>
      </c>
      <c r="D71" s="99"/>
      <c r="E71" s="101"/>
      <c r="F71" s="103"/>
      <c r="G71" s="116"/>
      <c r="H71" s="40" t="s">
        <v>101</v>
      </c>
      <c r="I71" s="45">
        <v>360.08600000000001</v>
      </c>
      <c r="J71" s="119"/>
      <c r="K71" s="121"/>
      <c r="L71" s="113"/>
      <c r="M71" s="56"/>
      <c r="N71" s="56"/>
      <c r="O71" s="56"/>
      <c r="P71" s="56"/>
      <c r="Q71" s="56"/>
      <c r="R71" s="56"/>
      <c r="S71" s="119"/>
      <c r="T71" s="119"/>
      <c r="U71" s="119"/>
      <c r="V71" s="119"/>
      <c r="W71" s="107"/>
      <c r="X71" s="105"/>
      <c r="Y71" s="109">
        <f t="shared" ref="Y71" si="68">SQRT((B71-B72)^2+(C71-C72)^2)</f>
        <v>72.591925342974591</v>
      </c>
      <c r="Z71" s="68">
        <f t="shared" si="0"/>
        <v>41.159999999999854</v>
      </c>
      <c r="AA71" s="1">
        <f t="shared" si="0"/>
        <v>59.795000000000073</v>
      </c>
      <c r="AB71" s="10">
        <f t="shared" si="1"/>
        <v>1.4527453838678397</v>
      </c>
      <c r="AC71" s="1">
        <f t="shared" si="2"/>
        <v>0.96793075329298439</v>
      </c>
      <c r="AD71" s="1">
        <f t="shared" si="3"/>
        <v>55</v>
      </c>
      <c r="AE71" s="69">
        <f t="shared" si="4"/>
        <v>27.500821476391053</v>
      </c>
      <c r="AF71" s="71" t="str">
        <f t="shared" si="5"/>
        <v>СВ</v>
      </c>
      <c r="AG71" s="1">
        <f t="shared" si="6"/>
        <v>0.96793075329298439</v>
      </c>
      <c r="AH71" s="72">
        <f t="shared" si="7"/>
        <v>55</v>
      </c>
      <c r="AI71" s="73">
        <f t="shared" si="8"/>
        <v>27.500821476391053</v>
      </c>
      <c r="AJ71" s="1">
        <f>((1+COS(2*(AH71)))/2)*Y71</f>
        <v>3.5540523379954225E-2</v>
      </c>
      <c r="AK71" s="111"/>
      <c r="AL71" s="113"/>
    </row>
    <row r="72" spans="1:38" x14ac:dyDescent="0.3">
      <c r="A72" s="16">
        <v>63</v>
      </c>
      <c r="B72" s="12">
        <v>24729.805</v>
      </c>
      <c r="C72" s="35">
        <v>12946.11</v>
      </c>
      <c r="D72" s="99"/>
      <c r="E72" s="101"/>
      <c r="F72" s="103"/>
      <c r="G72" s="116"/>
      <c r="H72" s="40" t="s">
        <v>102</v>
      </c>
      <c r="I72" s="45">
        <v>419.88099999999997</v>
      </c>
      <c r="J72" s="119"/>
      <c r="K72" s="121"/>
      <c r="L72" s="113"/>
      <c r="M72" s="56"/>
      <c r="N72" s="56"/>
      <c r="O72" s="56"/>
      <c r="P72" s="56"/>
      <c r="Q72" s="56"/>
      <c r="R72" s="56"/>
      <c r="S72" s="119"/>
      <c r="T72" s="119"/>
      <c r="U72" s="119"/>
      <c r="V72" s="119"/>
      <c r="W72" s="107"/>
      <c r="X72" s="110">
        <f t="shared" ref="X72" si="69">SQRT((B72-B73)^2+(C72-C73)^2)</f>
        <v>37.832987365525341</v>
      </c>
      <c r="Y72" s="109"/>
      <c r="Z72" s="68">
        <f t="shared" si="0"/>
        <v>-4.8019999999996799</v>
      </c>
      <c r="AA72" s="1">
        <f t="shared" si="0"/>
        <v>37.527000000000044</v>
      </c>
      <c r="AB72" s="10">
        <f t="shared" si="1"/>
        <v>7.8148688046652532</v>
      </c>
      <c r="AC72" s="1">
        <f t="shared" si="2"/>
        <v>1.443526758410784</v>
      </c>
      <c r="AD72" s="1">
        <f t="shared" si="3"/>
        <v>82</v>
      </c>
      <c r="AE72" s="69">
        <f t="shared" si="4"/>
        <v>42.479452268323996</v>
      </c>
      <c r="AF72" s="71" t="str">
        <f t="shared" si="5"/>
        <v>ЮВ</v>
      </c>
      <c r="AG72" s="1">
        <f t="shared" si="6"/>
        <v>1.6980658951790091</v>
      </c>
      <c r="AH72" s="72">
        <f t="shared" si="7"/>
        <v>97</v>
      </c>
      <c r="AI72" s="73">
        <f t="shared" si="8"/>
        <v>17.520547731676004</v>
      </c>
      <c r="AJ72" s="1">
        <f>((1+COS(2*(AH72)))/2)*X72</f>
        <v>32.38117687598799</v>
      </c>
      <c r="AK72" s="111"/>
      <c r="AL72" s="113"/>
    </row>
    <row r="73" spans="1:38" x14ac:dyDescent="0.3">
      <c r="A73" s="16">
        <v>64</v>
      </c>
      <c r="B73" s="12">
        <v>24725.003000000001</v>
      </c>
      <c r="C73" s="35">
        <v>12983.637000000001</v>
      </c>
      <c r="D73" s="99"/>
      <c r="E73" s="101"/>
      <c r="F73" s="103"/>
      <c r="G73" s="116"/>
      <c r="H73" s="40" t="s">
        <v>103</v>
      </c>
      <c r="I73" s="45">
        <v>457.40800000000002</v>
      </c>
      <c r="J73" s="119"/>
      <c r="K73" s="121"/>
      <c r="L73" s="113"/>
      <c r="M73" s="56"/>
      <c r="N73" s="56"/>
      <c r="O73" s="56"/>
      <c r="P73" s="56"/>
      <c r="Q73" s="56"/>
      <c r="R73" s="56"/>
      <c r="S73" s="119"/>
      <c r="T73" s="119"/>
      <c r="U73" s="119"/>
      <c r="V73" s="119"/>
      <c r="W73" s="107"/>
      <c r="X73" s="105"/>
      <c r="Y73" s="109">
        <f t="shared" ref="Y73" si="70">SQRT((B73-B74)^2+(C73-C74)^2)</f>
        <v>154.57441293111813</v>
      </c>
      <c r="Z73" s="68">
        <f t="shared" si="0"/>
        <v>89.182000000000698</v>
      </c>
      <c r="AA73" s="1">
        <f t="shared" si="0"/>
        <v>126.25299999999879</v>
      </c>
      <c r="AB73" s="10">
        <f t="shared" si="1"/>
        <v>1.4156780516247427</v>
      </c>
      <c r="AC73" s="1">
        <f t="shared" si="2"/>
        <v>0.95580444439058387</v>
      </c>
      <c r="AD73" s="1">
        <f t="shared" si="3"/>
        <v>54</v>
      </c>
      <c r="AE73" s="69">
        <f t="shared" si="4"/>
        <v>45.813642205622784</v>
      </c>
      <c r="AF73" s="71" t="str">
        <f t="shared" si="5"/>
        <v>СВ</v>
      </c>
      <c r="AG73" s="1">
        <f t="shared" si="6"/>
        <v>0.95580444439058387</v>
      </c>
      <c r="AH73" s="72">
        <f t="shared" si="7"/>
        <v>54</v>
      </c>
      <c r="AI73" s="73">
        <f t="shared" si="8"/>
        <v>45.813642205622784</v>
      </c>
      <c r="AJ73" s="1">
        <f>((1+COS(2*(AH73)))/2)*Y73</f>
        <v>106.30929427797716</v>
      </c>
      <c r="AK73" s="111"/>
      <c r="AL73" s="113"/>
    </row>
    <row r="74" spans="1:38" ht="15" thickBot="1" x14ac:dyDescent="0.35">
      <c r="A74" s="15">
        <v>65</v>
      </c>
      <c r="B74" s="13">
        <v>24814.185000000001</v>
      </c>
      <c r="C74" s="34">
        <v>13109.89</v>
      </c>
      <c r="D74" s="99"/>
      <c r="E74" s="101"/>
      <c r="F74" s="103"/>
      <c r="G74" s="117"/>
      <c r="H74" s="43" t="s">
        <v>104</v>
      </c>
      <c r="I74" s="46">
        <v>583.66099999999994</v>
      </c>
      <c r="J74" s="123"/>
      <c r="K74" s="122"/>
      <c r="L74" s="113"/>
      <c r="M74" s="56"/>
      <c r="N74" s="56"/>
      <c r="O74" s="56"/>
      <c r="P74" s="56"/>
      <c r="Q74" s="56"/>
      <c r="R74" s="56"/>
      <c r="S74" s="119"/>
      <c r="T74" s="119"/>
      <c r="U74" s="119"/>
      <c r="V74" s="119"/>
      <c r="W74" s="107"/>
      <c r="X74" s="110">
        <f t="shared" ref="X74" si="71">SQRT((B74-B75)^2+(C74-C75)^2)</f>
        <v>80.00035062423116</v>
      </c>
      <c r="Y74" s="109"/>
      <c r="Z74" s="68">
        <f t="shared" si="0"/>
        <v>47.18999999999869</v>
      </c>
      <c r="AA74" s="1">
        <f t="shared" si="0"/>
        <v>64.600000000000364</v>
      </c>
      <c r="AB74" s="10">
        <f t="shared" si="1"/>
        <v>1.3689340962068692</v>
      </c>
      <c r="AC74" s="1">
        <f t="shared" si="2"/>
        <v>0.93989549619399027</v>
      </c>
      <c r="AD74" s="1">
        <f t="shared" si="3"/>
        <v>53</v>
      </c>
      <c r="AE74" s="69">
        <f t="shared" si="4"/>
        <v>51.12270691619841</v>
      </c>
      <c r="AF74" s="71" t="str">
        <f t="shared" si="5"/>
        <v>СВ</v>
      </c>
      <c r="AG74" s="1">
        <f t="shared" si="6"/>
        <v>0.93989549619399027</v>
      </c>
      <c r="AH74" s="72">
        <f t="shared" si="7"/>
        <v>53</v>
      </c>
      <c r="AI74" s="73">
        <f t="shared" si="8"/>
        <v>51.12270691619841</v>
      </c>
      <c r="AJ74" s="1">
        <f>((1+COS(2*(AH74)))/2)*X74</f>
        <v>67.459757697804491</v>
      </c>
      <c r="AK74" s="111"/>
      <c r="AL74" s="113"/>
    </row>
    <row r="75" spans="1:38" x14ac:dyDescent="0.3">
      <c r="A75" s="15">
        <v>66</v>
      </c>
      <c r="B75" s="13">
        <v>24861.375</v>
      </c>
      <c r="C75" s="34">
        <v>13174.49</v>
      </c>
      <c r="D75" s="99"/>
      <c r="E75" s="101"/>
      <c r="F75" s="103"/>
      <c r="G75" s="115" t="s">
        <v>105</v>
      </c>
      <c r="H75" s="41" t="s">
        <v>106</v>
      </c>
      <c r="I75" s="44">
        <v>210.23599999999999</v>
      </c>
      <c r="J75" s="118">
        <f>SUM(I75:I93)</f>
        <v>3049.8550000000005</v>
      </c>
      <c r="K75" s="120">
        <f>J75^2</f>
        <v>9301615.521025002</v>
      </c>
      <c r="L75" s="113"/>
      <c r="M75" s="56"/>
      <c r="N75" s="56"/>
      <c r="O75" s="56"/>
      <c r="P75" s="56"/>
      <c r="Q75" s="56"/>
      <c r="R75" s="56"/>
      <c r="S75" s="119"/>
      <c r="T75" s="119"/>
      <c r="U75" s="119"/>
      <c r="V75" s="119"/>
      <c r="W75" s="107"/>
      <c r="X75" s="105"/>
      <c r="Y75" s="109">
        <f t="shared" ref="Y75" si="72">SQRT((B75-B76)^2+(C75-C76)^2)</f>
        <v>149.98842870701617</v>
      </c>
      <c r="Z75" s="68">
        <f t="shared" ref="Z75:AA138" si="73">B76-B75</f>
        <v>86.510999999998603</v>
      </c>
      <c r="AA75" s="1">
        <f t="shared" si="73"/>
        <v>122.52499999999964</v>
      </c>
      <c r="AB75" s="10">
        <f t="shared" ref="AB75:AB138" si="74">ABS(AA75/Z75)</f>
        <v>1.4162938817029236</v>
      </c>
      <c r="AC75" s="1">
        <f t="shared" ref="AC75:AC138" si="75">ATAN(AB75)</f>
        <v>0.95600937841960731</v>
      </c>
      <c r="AD75" s="1">
        <f t="shared" ref="AD75:AD138" si="76">TRUNC(DEGREES(AC75))</f>
        <v>54</v>
      </c>
      <c r="AE75" s="69">
        <f t="shared" ref="AE75:AE138" si="77">(DEGREES(AC75)-AD75)*60</f>
        <v>46.518153502122033</v>
      </c>
      <c r="AF75" s="71" t="str">
        <f t="shared" ref="AF75:AF138" si="78">IF(AND(Z75&gt;0, AA75&gt;0),"СВ", IF(AND(Z75&lt;0, AA75&gt;0), "ЮВ", IF(AND(Z75&lt;0, AA75&lt;0), "ЮЗ", IF(AND(Z75&gt;0, AA75&lt;0), "СЗ"))))</f>
        <v>СВ</v>
      </c>
      <c r="AG75" s="1">
        <f t="shared" ref="AG75:AG138" si="79">IF( AF75 = "СВ", AC75, IF(AF75="ЮВ", PI()-AC75, IF(AF75="ЮЗ", PI()+AC75, IF(AF75="СЗ", 2*PI()-AC75, ""))))</f>
        <v>0.95600937841960731</v>
      </c>
      <c r="AH75" s="72">
        <f t="shared" ref="AH75:AH138" si="80">TRUNC(DEGREES(AG75))</f>
        <v>54</v>
      </c>
      <c r="AI75" s="73">
        <f t="shared" ref="AI75:AI138" si="81">(DEGREES(AG75)-AH75)*60</f>
        <v>46.518153502122033</v>
      </c>
      <c r="AJ75" s="1">
        <f>((1+COS(2*(AH75)))/2)*Y75</f>
        <v>103.15526162024697</v>
      </c>
      <c r="AK75" s="111"/>
      <c r="AL75" s="113"/>
    </row>
    <row r="76" spans="1:38" x14ac:dyDescent="0.3">
      <c r="A76" s="16">
        <v>67</v>
      </c>
      <c r="B76" s="12">
        <v>24947.885999999999</v>
      </c>
      <c r="C76" s="35">
        <v>13297.014999999999</v>
      </c>
      <c r="D76" s="99" t="s">
        <v>14</v>
      </c>
      <c r="E76" s="101">
        <f>AVERAGE(B74:B94)</f>
        <v>24849.042999999998</v>
      </c>
      <c r="F76" s="103">
        <f>AVERAGE(C74:C94)</f>
        <v>13384.725523809526</v>
      </c>
      <c r="G76" s="116"/>
      <c r="H76" s="40" t="s">
        <v>107</v>
      </c>
      <c r="I76" s="45">
        <v>87.710999999999999</v>
      </c>
      <c r="J76" s="119"/>
      <c r="K76" s="121"/>
      <c r="L76" s="113"/>
      <c r="M76" s="56"/>
      <c r="N76" s="56"/>
      <c r="O76" s="56"/>
      <c r="P76" s="56"/>
      <c r="Q76" s="56"/>
      <c r="R76" s="56"/>
      <c r="S76" s="119"/>
      <c r="T76" s="119"/>
      <c r="U76" s="119"/>
      <c r="V76" s="119"/>
      <c r="W76" s="107"/>
      <c r="X76" s="110">
        <f t="shared" ref="X76" si="82">SQRT((B76-B77)^2+(C76-C77)^2)</f>
        <v>116.44840526602481</v>
      </c>
      <c r="Y76" s="109"/>
      <c r="Z76" s="68">
        <f t="shared" si="73"/>
        <v>67.492000000002008</v>
      </c>
      <c r="AA76" s="1">
        <f t="shared" si="73"/>
        <v>94.895000000000437</v>
      </c>
      <c r="AB76" s="10">
        <f t="shared" si="74"/>
        <v>1.406018491080389</v>
      </c>
      <c r="AC76" s="1">
        <f t="shared" si="75"/>
        <v>0.95257434059196078</v>
      </c>
      <c r="AD76" s="1">
        <f t="shared" si="76"/>
        <v>54</v>
      </c>
      <c r="AE76" s="69">
        <f t="shared" si="77"/>
        <v>34.709363302605993</v>
      </c>
      <c r="AF76" s="71" t="str">
        <f t="shared" si="78"/>
        <v>СВ</v>
      </c>
      <c r="AG76" s="1">
        <f t="shared" si="79"/>
        <v>0.95257434059196078</v>
      </c>
      <c r="AH76" s="72">
        <f t="shared" si="80"/>
        <v>54</v>
      </c>
      <c r="AI76" s="73">
        <f t="shared" si="81"/>
        <v>34.709363302605993</v>
      </c>
      <c r="AJ76" s="1">
        <f>((1+COS(2*(AH76)))/2)*X76</f>
        <v>80.087949544039887</v>
      </c>
      <c r="AK76" s="111"/>
      <c r="AL76" s="113"/>
    </row>
    <row r="77" spans="1:38" x14ac:dyDescent="0.3">
      <c r="A77" s="16">
        <v>68</v>
      </c>
      <c r="B77" s="12">
        <v>25015.378000000001</v>
      </c>
      <c r="C77" s="35">
        <v>13391.91</v>
      </c>
      <c r="D77" s="99"/>
      <c r="E77" s="101"/>
      <c r="F77" s="103"/>
      <c r="G77" s="116"/>
      <c r="H77" s="40" t="s">
        <v>108</v>
      </c>
      <c r="I77" s="45">
        <v>7.1840000000000002</v>
      </c>
      <c r="J77" s="119"/>
      <c r="K77" s="121"/>
      <c r="L77" s="113"/>
      <c r="M77" s="56"/>
      <c r="N77" s="56"/>
      <c r="O77" s="56"/>
      <c r="P77" s="56"/>
      <c r="Q77" s="56"/>
      <c r="R77" s="56"/>
      <c r="S77" s="119"/>
      <c r="T77" s="119"/>
      <c r="U77" s="119"/>
      <c r="V77" s="119"/>
      <c r="W77" s="107"/>
      <c r="X77" s="105"/>
      <c r="Y77" s="109">
        <f t="shared" ref="Y77" si="83">SQRT((B77-B78)^2+(C77-C78)^2)</f>
        <v>149.99984289324982</v>
      </c>
      <c r="Z77" s="68">
        <f t="shared" si="73"/>
        <v>43.007999999997992</v>
      </c>
      <c r="AA77" s="1">
        <f t="shared" si="73"/>
        <v>143.70199999999932</v>
      </c>
      <c r="AB77" s="10">
        <f t="shared" si="74"/>
        <v>3.341285342262045</v>
      </c>
      <c r="AC77" s="1">
        <f t="shared" si="75"/>
        <v>1.2799946862291944</v>
      </c>
      <c r="AD77" s="1">
        <f t="shared" si="76"/>
        <v>73</v>
      </c>
      <c r="AE77" s="69">
        <f t="shared" si="77"/>
        <v>20.297599206294592</v>
      </c>
      <c r="AF77" s="71" t="str">
        <f t="shared" si="78"/>
        <v>СВ</v>
      </c>
      <c r="AG77" s="1">
        <f t="shared" si="79"/>
        <v>1.2799946862291944</v>
      </c>
      <c r="AH77" s="72">
        <f t="shared" si="80"/>
        <v>73</v>
      </c>
      <c r="AI77" s="73">
        <f t="shared" si="81"/>
        <v>20.297599206294592</v>
      </c>
      <c r="AJ77" s="1">
        <f>((1+COS(2*(AH77)))/2)*Y77</f>
        <v>81.296872606966431</v>
      </c>
      <c r="AK77" s="111"/>
      <c r="AL77" s="113"/>
    </row>
    <row r="78" spans="1:38" x14ac:dyDescent="0.3">
      <c r="A78" s="16">
        <v>69</v>
      </c>
      <c r="B78" s="12">
        <v>25058.385999999999</v>
      </c>
      <c r="C78" s="35">
        <v>13535.611999999999</v>
      </c>
      <c r="D78" s="99"/>
      <c r="E78" s="101"/>
      <c r="F78" s="103"/>
      <c r="G78" s="116"/>
      <c r="H78" s="40" t="s">
        <v>109</v>
      </c>
      <c r="I78" s="45">
        <v>150.886</v>
      </c>
      <c r="J78" s="119"/>
      <c r="K78" s="121"/>
      <c r="L78" s="113"/>
      <c r="M78" s="56"/>
      <c r="N78" s="56"/>
      <c r="O78" s="56"/>
      <c r="P78" s="56"/>
      <c r="Q78" s="56"/>
      <c r="R78" s="56"/>
      <c r="S78" s="119"/>
      <c r="T78" s="119"/>
      <c r="U78" s="119"/>
      <c r="V78" s="119"/>
      <c r="W78" s="107"/>
      <c r="X78" s="110">
        <f t="shared" ref="X78" si="84">SQRT((B78-B79)^2+(C78-C79)^2)</f>
        <v>102.97353118641884</v>
      </c>
      <c r="Y78" s="109"/>
      <c r="Z78" s="68">
        <f t="shared" si="73"/>
        <v>29.525000000001455</v>
      </c>
      <c r="AA78" s="1">
        <f t="shared" si="73"/>
        <v>98.650000000001455</v>
      </c>
      <c r="AB78" s="10">
        <f t="shared" si="74"/>
        <v>3.3412362404740592</v>
      </c>
      <c r="AC78" s="1">
        <f t="shared" si="75"/>
        <v>1.2799906495889104</v>
      </c>
      <c r="AD78" s="1">
        <f t="shared" si="76"/>
        <v>73</v>
      </c>
      <c r="AE78" s="69">
        <f t="shared" si="77"/>
        <v>20.283722259193837</v>
      </c>
      <c r="AF78" s="71" t="str">
        <f t="shared" si="78"/>
        <v>СВ</v>
      </c>
      <c r="AG78" s="1">
        <f t="shared" si="79"/>
        <v>1.2799906495889104</v>
      </c>
      <c r="AH78" s="72">
        <f t="shared" si="80"/>
        <v>73</v>
      </c>
      <c r="AI78" s="73">
        <f t="shared" si="81"/>
        <v>20.283722259193837</v>
      </c>
      <c r="AJ78" s="1">
        <f>((1+COS(2*(AH78)))/2)*X78</f>
        <v>55.809565432074869</v>
      </c>
      <c r="AK78" s="111"/>
      <c r="AL78" s="113"/>
    </row>
    <row r="79" spans="1:38" x14ac:dyDescent="0.3">
      <c r="A79" s="16">
        <v>70</v>
      </c>
      <c r="B79" s="12">
        <v>25087.911</v>
      </c>
      <c r="C79" s="35">
        <v>13634.262000000001</v>
      </c>
      <c r="D79" s="99"/>
      <c r="E79" s="101"/>
      <c r="F79" s="103"/>
      <c r="G79" s="116"/>
      <c r="H79" s="40" t="s">
        <v>110</v>
      </c>
      <c r="I79" s="45">
        <v>249.536</v>
      </c>
      <c r="J79" s="119"/>
      <c r="K79" s="121"/>
      <c r="L79" s="113"/>
      <c r="M79" s="56"/>
      <c r="N79" s="56"/>
      <c r="O79" s="56"/>
      <c r="P79" s="56"/>
      <c r="Q79" s="56"/>
      <c r="R79" s="56"/>
      <c r="S79" s="119"/>
      <c r="T79" s="119"/>
      <c r="U79" s="119"/>
      <c r="V79" s="119"/>
      <c r="W79" s="107"/>
      <c r="X79" s="105"/>
      <c r="Y79" s="109">
        <f t="shared" ref="Y79" si="85">SQRT((B79-B80)^2+(C79-C80)^2)</f>
        <v>30.770904861572379</v>
      </c>
      <c r="Z79" s="68">
        <f t="shared" si="73"/>
        <v>-9.7809999999990396</v>
      </c>
      <c r="AA79" s="1">
        <f t="shared" si="73"/>
        <v>29.174999999999272</v>
      </c>
      <c r="AB79" s="10">
        <f t="shared" si="74"/>
        <v>2.9828238421431488</v>
      </c>
      <c r="AC79" s="1">
        <f t="shared" si="75"/>
        <v>1.247319261874023</v>
      </c>
      <c r="AD79" s="1">
        <f t="shared" si="76"/>
        <v>71</v>
      </c>
      <c r="AE79" s="69">
        <f t="shared" si="77"/>
        <v>27.967764645276247</v>
      </c>
      <c r="AF79" s="71" t="str">
        <f t="shared" si="78"/>
        <v>ЮВ</v>
      </c>
      <c r="AG79" s="1">
        <f t="shared" si="79"/>
        <v>1.8942733917157701</v>
      </c>
      <c r="AH79" s="72">
        <f t="shared" si="80"/>
        <v>108</v>
      </c>
      <c r="AI79" s="73">
        <f t="shared" si="81"/>
        <v>32.0322353547229</v>
      </c>
      <c r="AJ79" s="1">
        <f>((1+COS(2*(AH79)))/2)*Y79</f>
        <v>4.3389270753561329</v>
      </c>
      <c r="AK79" s="111"/>
      <c r="AL79" s="113"/>
    </row>
    <row r="80" spans="1:38" x14ac:dyDescent="0.3">
      <c r="A80" s="16">
        <v>71</v>
      </c>
      <c r="B80" s="12">
        <v>25078.13</v>
      </c>
      <c r="C80" s="35">
        <v>13663.437</v>
      </c>
      <c r="D80" s="99"/>
      <c r="E80" s="101"/>
      <c r="F80" s="103"/>
      <c r="G80" s="116"/>
      <c r="H80" s="40" t="s">
        <v>111</v>
      </c>
      <c r="I80" s="45">
        <v>278.71100000000001</v>
      </c>
      <c r="J80" s="119"/>
      <c r="K80" s="121"/>
      <c r="L80" s="113"/>
      <c r="M80" s="56"/>
      <c r="N80" s="56"/>
      <c r="O80" s="56"/>
      <c r="P80" s="56"/>
      <c r="Q80" s="56"/>
      <c r="R80" s="56"/>
      <c r="S80" s="119"/>
      <c r="T80" s="119"/>
      <c r="U80" s="119"/>
      <c r="V80" s="119"/>
      <c r="W80" s="107"/>
      <c r="X80" s="110">
        <f t="shared" ref="X80" si="86">SQRT((B80-B81)^2+(C80-C81)^2)</f>
        <v>42.306870092220272</v>
      </c>
      <c r="Y80" s="109"/>
      <c r="Z80" s="68">
        <f t="shared" si="73"/>
        <v>10.935999999997875</v>
      </c>
      <c r="AA80" s="1">
        <f t="shared" si="73"/>
        <v>40.869000000000597</v>
      </c>
      <c r="AB80" s="10">
        <f t="shared" si="74"/>
        <v>3.7371068032195076</v>
      </c>
      <c r="AC80" s="1">
        <f t="shared" si="75"/>
        <v>1.3093351989105455</v>
      </c>
      <c r="AD80" s="1">
        <f t="shared" si="76"/>
        <v>75</v>
      </c>
      <c r="AE80" s="69">
        <f t="shared" si="77"/>
        <v>1.1628519297840967</v>
      </c>
      <c r="AF80" s="71" t="str">
        <f t="shared" si="78"/>
        <v>СВ</v>
      </c>
      <c r="AG80" s="1">
        <f t="shared" si="79"/>
        <v>1.3093351989105455</v>
      </c>
      <c r="AH80" s="72">
        <f t="shared" si="80"/>
        <v>75</v>
      </c>
      <c r="AI80" s="73">
        <f t="shared" si="81"/>
        <v>1.1628519297840967</v>
      </c>
      <c r="AJ80" s="1">
        <f>((1+COS(2*(AH80)))/2)*X80</f>
        <v>35.944991561890575</v>
      </c>
      <c r="AK80" s="111"/>
      <c r="AL80" s="113"/>
    </row>
    <row r="81" spans="1:38" x14ac:dyDescent="0.3">
      <c r="A81" s="16">
        <v>72</v>
      </c>
      <c r="B81" s="12">
        <v>25089.065999999999</v>
      </c>
      <c r="C81" s="35">
        <v>13704.306</v>
      </c>
      <c r="D81" s="99"/>
      <c r="E81" s="101"/>
      <c r="F81" s="103"/>
      <c r="G81" s="116"/>
      <c r="H81" s="40" t="s">
        <v>112</v>
      </c>
      <c r="I81" s="45">
        <v>319.58</v>
      </c>
      <c r="J81" s="119"/>
      <c r="K81" s="121"/>
      <c r="L81" s="113"/>
      <c r="M81" s="56"/>
      <c r="N81" s="56"/>
      <c r="O81" s="56"/>
      <c r="P81" s="56"/>
      <c r="Q81" s="56"/>
      <c r="R81" s="56"/>
      <c r="S81" s="119"/>
      <c r="T81" s="119"/>
      <c r="U81" s="119"/>
      <c r="V81" s="119"/>
      <c r="W81" s="107"/>
      <c r="X81" s="105"/>
      <c r="Y81" s="109">
        <f t="shared" ref="Y81" si="87">SQRT((B81-B82)^2+(C81-C82)^2)</f>
        <v>19.90291486189917</v>
      </c>
      <c r="Z81" s="68">
        <f t="shared" si="73"/>
        <v>-19.394000000000233</v>
      </c>
      <c r="AA81" s="1">
        <f t="shared" si="73"/>
        <v>4.4719999999997526</v>
      </c>
      <c r="AB81" s="10">
        <f t="shared" si="74"/>
        <v>0.23058677941629879</v>
      </c>
      <c r="AC81" s="1">
        <f t="shared" si="75"/>
        <v>0.22662561484604457</v>
      </c>
      <c r="AD81" s="1">
        <f t="shared" si="76"/>
        <v>12</v>
      </c>
      <c r="AE81" s="69">
        <f t="shared" si="77"/>
        <v>59.081475614141112</v>
      </c>
      <c r="AF81" s="71" t="str">
        <f t="shared" si="78"/>
        <v>ЮВ</v>
      </c>
      <c r="AG81" s="1">
        <f t="shared" si="79"/>
        <v>2.9149670387437485</v>
      </c>
      <c r="AH81" s="72">
        <f t="shared" si="80"/>
        <v>167</v>
      </c>
      <c r="AI81" s="73">
        <f t="shared" si="81"/>
        <v>0.91852438585931395</v>
      </c>
      <c r="AJ81" s="1">
        <f>((1+COS(2*(AH81)))/2)*Y81</f>
        <v>15.401910865113445</v>
      </c>
      <c r="AK81" s="111"/>
      <c r="AL81" s="113"/>
    </row>
    <row r="82" spans="1:38" x14ac:dyDescent="0.3">
      <c r="A82" s="16">
        <v>73</v>
      </c>
      <c r="B82" s="12">
        <v>25069.671999999999</v>
      </c>
      <c r="C82" s="35">
        <v>13708.778</v>
      </c>
      <c r="D82" s="99"/>
      <c r="E82" s="101"/>
      <c r="F82" s="103"/>
      <c r="G82" s="116"/>
      <c r="H82" s="40" t="s">
        <v>113</v>
      </c>
      <c r="I82" s="45">
        <v>324.05200000000002</v>
      </c>
      <c r="J82" s="119"/>
      <c r="K82" s="121"/>
      <c r="L82" s="113"/>
      <c r="M82" s="56"/>
      <c r="N82" s="56"/>
      <c r="O82" s="56"/>
      <c r="P82" s="56"/>
      <c r="Q82" s="56"/>
      <c r="R82" s="56"/>
      <c r="S82" s="119"/>
      <c r="T82" s="119"/>
      <c r="U82" s="119"/>
      <c r="V82" s="119"/>
      <c r="W82" s="107"/>
      <c r="X82" s="110">
        <f t="shared" ref="X82" si="88">SQRT((B82-B83)^2+(C82-C83)^2)</f>
        <v>65.349537488799669</v>
      </c>
      <c r="Y82" s="109"/>
      <c r="Z82" s="68">
        <f t="shared" si="73"/>
        <v>-18.510999999998603</v>
      </c>
      <c r="AA82" s="1">
        <f t="shared" si="73"/>
        <v>-62.673000000000684</v>
      </c>
      <c r="AB82" s="10">
        <f t="shared" si="74"/>
        <v>3.3857166009402739</v>
      </c>
      <c r="AC82" s="1">
        <f t="shared" si="75"/>
        <v>1.2836032581413483</v>
      </c>
      <c r="AD82" s="1">
        <f t="shared" si="76"/>
        <v>73</v>
      </c>
      <c r="AE82" s="69">
        <f t="shared" si="77"/>
        <v>32.702955644446945</v>
      </c>
      <c r="AF82" s="71" t="str">
        <f t="shared" si="78"/>
        <v>ЮЗ</v>
      </c>
      <c r="AG82" s="1">
        <f t="shared" si="79"/>
        <v>4.4251959117311417</v>
      </c>
      <c r="AH82" s="72">
        <f t="shared" si="80"/>
        <v>253</v>
      </c>
      <c r="AI82" s="73">
        <f t="shared" si="81"/>
        <v>32.702955644447798</v>
      </c>
      <c r="AJ82" s="1">
        <f>((1+COS(2*(AH82)))/2)*X82</f>
        <v>0.67478291307569804</v>
      </c>
      <c r="AK82" s="111"/>
      <c r="AL82" s="113"/>
    </row>
    <row r="83" spans="1:38" x14ac:dyDescent="0.3">
      <c r="A83" s="16">
        <v>74</v>
      </c>
      <c r="B83" s="12">
        <v>25051.161</v>
      </c>
      <c r="C83" s="35">
        <v>13646.105</v>
      </c>
      <c r="D83" s="99"/>
      <c r="E83" s="101"/>
      <c r="F83" s="103"/>
      <c r="G83" s="116"/>
      <c r="H83" s="40" t="s">
        <v>114</v>
      </c>
      <c r="I83" s="45">
        <v>261.37900000000002</v>
      </c>
      <c r="J83" s="119"/>
      <c r="K83" s="121"/>
      <c r="L83" s="113"/>
      <c r="M83" s="56"/>
      <c r="N83" s="56"/>
      <c r="O83" s="56"/>
      <c r="P83" s="56"/>
      <c r="Q83" s="56"/>
      <c r="R83" s="56"/>
      <c r="S83" s="119"/>
      <c r="T83" s="119"/>
      <c r="U83" s="119"/>
      <c r="V83" s="119"/>
      <c r="W83" s="107"/>
      <c r="X83" s="105"/>
      <c r="Y83" s="109">
        <f t="shared" ref="Y83" si="89">SQRT((B83-B84)^2+(C83-C84)^2)</f>
        <v>150.00023574648017</v>
      </c>
      <c r="Z83" s="68">
        <f t="shared" si="73"/>
        <v>-93.639999999999418</v>
      </c>
      <c r="AA83" s="1">
        <f t="shared" si="73"/>
        <v>-117.18199999999888</v>
      </c>
      <c r="AB83" s="10">
        <f t="shared" si="74"/>
        <v>1.2514096539940154</v>
      </c>
      <c r="AC83" s="1">
        <f t="shared" si="75"/>
        <v>0.89660511537689802</v>
      </c>
      <c r="AD83" s="1">
        <f t="shared" si="76"/>
        <v>51</v>
      </c>
      <c r="AE83" s="69">
        <f t="shared" si="77"/>
        <v>22.301340056189076</v>
      </c>
      <c r="AF83" s="71" t="str">
        <f t="shared" si="78"/>
        <v>ЮЗ</v>
      </c>
      <c r="AG83" s="1">
        <f t="shared" si="79"/>
        <v>4.0381977689666915</v>
      </c>
      <c r="AH83" s="72">
        <f t="shared" si="80"/>
        <v>231</v>
      </c>
      <c r="AI83" s="73">
        <f t="shared" si="81"/>
        <v>22.301340056189929</v>
      </c>
      <c r="AJ83" s="1">
        <f>((1+COS(2*(AH83)))/2)*Y83</f>
        <v>1.2919511703455013</v>
      </c>
      <c r="AK83" s="111"/>
      <c r="AL83" s="113"/>
    </row>
    <row r="84" spans="1:38" ht="15" thickBot="1" x14ac:dyDescent="0.35">
      <c r="A84" s="16">
        <v>75</v>
      </c>
      <c r="B84" s="12">
        <v>24957.521000000001</v>
      </c>
      <c r="C84" s="35">
        <v>13528.923000000001</v>
      </c>
      <c r="D84" s="99"/>
      <c r="E84" s="101"/>
      <c r="F84" s="103"/>
      <c r="G84" s="116"/>
      <c r="H84" s="40" t="s">
        <v>115</v>
      </c>
      <c r="I84" s="45">
        <v>144.197</v>
      </c>
      <c r="J84" s="119"/>
      <c r="K84" s="121"/>
      <c r="L84" s="113"/>
      <c r="M84" s="56"/>
      <c r="N84" s="56"/>
      <c r="O84" s="56"/>
      <c r="P84" s="56"/>
      <c r="Q84" s="56"/>
      <c r="R84" s="56"/>
      <c r="S84" s="123"/>
      <c r="T84" s="123"/>
      <c r="U84" s="123"/>
      <c r="V84" s="119"/>
      <c r="W84" s="107"/>
      <c r="X84" s="110">
        <f t="shared" ref="X84" si="90">SQRT((B84-B85)^2+(C84-C85)^2)</f>
        <v>150.00023574648159</v>
      </c>
      <c r="Y84" s="109"/>
      <c r="Z84" s="68">
        <f t="shared" si="73"/>
        <v>-93.639999999999418</v>
      </c>
      <c r="AA84" s="1">
        <f t="shared" si="73"/>
        <v>-117.1820000000007</v>
      </c>
      <c r="AB84" s="10">
        <f t="shared" si="74"/>
        <v>1.2514096539940349</v>
      </c>
      <c r="AC84" s="1">
        <f t="shared" si="75"/>
        <v>0.89660511537690568</v>
      </c>
      <c r="AD84" s="1">
        <f t="shared" si="76"/>
        <v>51</v>
      </c>
      <c r="AE84" s="69">
        <f t="shared" si="77"/>
        <v>22.301340056215508</v>
      </c>
      <c r="AF84" s="71" t="str">
        <f t="shared" si="78"/>
        <v>ЮЗ</v>
      </c>
      <c r="AG84" s="1">
        <f t="shared" si="79"/>
        <v>4.0381977689666986</v>
      </c>
      <c r="AH84" s="72">
        <f t="shared" si="80"/>
        <v>231</v>
      </c>
      <c r="AI84" s="73">
        <f t="shared" si="81"/>
        <v>22.301340056215508</v>
      </c>
      <c r="AJ84" s="1">
        <f>((1+COS(2*(AH84)))/2)*X84</f>
        <v>1.2919511703455135</v>
      </c>
      <c r="AK84" s="111"/>
      <c r="AL84" s="113"/>
    </row>
    <row r="85" spans="1:38" x14ac:dyDescent="0.3">
      <c r="A85" s="16">
        <v>76</v>
      </c>
      <c r="B85" s="12">
        <v>24863.881000000001</v>
      </c>
      <c r="C85" s="35">
        <v>13411.741</v>
      </c>
      <c r="D85" s="99"/>
      <c r="E85" s="101"/>
      <c r="F85" s="103"/>
      <c r="G85" s="116"/>
      <c r="H85" s="40" t="s">
        <v>116</v>
      </c>
      <c r="I85" s="45">
        <v>27.015000000000001</v>
      </c>
      <c r="J85" s="119"/>
      <c r="K85" s="121"/>
      <c r="L85" s="113"/>
      <c r="M85" s="56"/>
      <c r="N85" s="56"/>
      <c r="O85" s="56"/>
      <c r="P85" s="56"/>
      <c r="Q85" s="56"/>
      <c r="R85" s="56"/>
      <c r="S85" s="118">
        <v>137.71199999999999</v>
      </c>
      <c r="T85" s="118">
        <f>S85^2</f>
        <v>18964.594943999997</v>
      </c>
      <c r="U85" s="118">
        <f>G5*T85</f>
        <v>17068135.449599996</v>
      </c>
      <c r="V85" s="119"/>
      <c r="W85" s="107"/>
      <c r="X85" s="105"/>
      <c r="Y85" s="109">
        <f t="shared" ref="Y85" si="91">SQRT((B85-B86)^2+(C85-C86)^2)</f>
        <v>150.00023574648159</v>
      </c>
      <c r="Z85" s="68">
        <f t="shared" si="73"/>
        <v>-93.639999999999418</v>
      </c>
      <c r="AA85" s="1">
        <f t="shared" si="73"/>
        <v>-117.1820000000007</v>
      </c>
      <c r="AB85" s="10">
        <f t="shared" si="74"/>
        <v>1.2514096539940349</v>
      </c>
      <c r="AC85" s="1">
        <f t="shared" si="75"/>
        <v>0.89660511537690568</v>
      </c>
      <c r="AD85" s="1">
        <f t="shared" si="76"/>
        <v>51</v>
      </c>
      <c r="AE85" s="69">
        <f t="shared" si="77"/>
        <v>22.301340056215508</v>
      </c>
      <c r="AF85" s="71" t="str">
        <f t="shared" si="78"/>
        <v>ЮЗ</v>
      </c>
      <c r="AG85" s="1">
        <f t="shared" si="79"/>
        <v>4.0381977689666986</v>
      </c>
      <c r="AH85" s="72">
        <f t="shared" si="80"/>
        <v>231</v>
      </c>
      <c r="AI85" s="73">
        <f t="shared" si="81"/>
        <v>22.301340056215508</v>
      </c>
      <c r="AJ85" s="1">
        <f>((1+COS(2*(AH85)))/2)*Y85</f>
        <v>1.2919511703455135</v>
      </c>
      <c r="AK85" s="111"/>
      <c r="AL85" s="113"/>
    </row>
    <row r="86" spans="1:38" x14ac:dyDescent="0.3">
      <c r="A86" s="16">
        <v>77</v>
      </c>
      <c r="B86" s="12">
        <v>24770.241000000002</v>
      </c>
      <c r="C86" s="35">
        <v>13294.558999999999</v>
      </c>
      <c r="D86" s="99"/>
      <c r="E86" s="101"/>
      <c r="F86" s="103"/>
      <c r="G86" s="116"/>
      <c r="H86" s="40" t="s">
        <v>117</v>
      </c>
      <c r="I86" s="45">
        <v>90.167000000000002</v>
      </c>
      <c r="J86" s="119"/>
      <c r="K86" s="121"/>
      <c r="L86" s="113"/>
      <c r="M86" s="56"/>
      <c r="N86" s="56"/>
      <c r="O86" s="56"/>
      <c r="P86" s="56"/>
      <c r="Q86" s="56"/>
      <c r="R86" s="56"/>
      <c r="S86" s="119"/>
      <c r="T86" s="119"/>
      <c r="U86" s="119"/>
      <c r="V86" s="119"/>
      <c r="W86" s="107"/>
      <c r="X86" s="110">
        <f t="shared" ref="X86" si="92">SQRT((B86-B87)^2+(C86-C87)^2)</f>
        <v>55.215398087851618</v>
      </c>
      <c r="Y86" s="109"/>
      <c r="Z86" s="68">
        <f t="shared" si="73"/>
        <v>-34.46900000000096</v>
      </c>
      <c r="AA86" s="1">
        <f t="shared" si="73"/>
        <v>-43.134999999998399</v>
      </c>
      <c r="AB86" s="10">
        <f t="shared" si="74"/>
        <v>1.251414314311329</v>
      </c>
      <c r="AC86" s="1">
        <f t="shared" si="75"/>
        <v>0.8966069315340609</v>
      </c>
      <c r="AD86" s="1">
        <f t="shared" si="76"/>
        <v>51</v>
      </c>
      <c r="AE86" s="69">
        <f t="shared" si="77"/>
        <v>22.30758354461102</v>
      </c>
      <c r="AF86" s="71" t="str">
        <f t="shared" si="78"/>
        <v>ЮЗ</v>
      </c>
      <c r="AG86" s="1">
        <f t="shared" si="79"/>
        <v>4.0381995851238539</v>
      </c>
      <c r="AH86" s="72">
        <f t="shared" si="80"/>
        <v>231</v>
      </c>
      <c r="AI86" s="73">
        <f t="shared" si="81"/>
        <v>22.30758354461102</v>
      </c>
      <c r="AJ86" s="1">
        <f>((1+COS(2*(AH86)))/2)*X86</f>
        <v>0.47556990711173985</v>
      </c>
      <c r="AK86" s="111"/>
      <c r="AL86" s="113"/>
    </row>
    <row r="87" spans="1:38" x14ac:dyDescent="0.3">
      <c r="A87" s="16">
        <v>78</v>
      </c>
      <c r="B87" s="12">
        <v>24735.772000000001</v>
      </c>
      <c r="C87" s="35">
        <v>13251.424000000001</v>
      </c>
      <c r="D87" s="99"/>
      <c r="E87" s="101"/>
      <c r="F87" s="103"/>
      <c r="G87" s="116"/>
      <c r="H87" s="40" t="s">
        <v>118</v>
      </c>
      <c r="I87" s="45">
        <v>133.30199999999999</v>
      </c>
      <c r="J87" s="119"/>
      <c r="K87" s="121"/>
      <c r="L87" s="113"/>
      <c r="M87" s="56"/>
      <c r="N87" s="56"/>
      <c r="O87" s="56"/>
      <c r="P87" s="56"/>
      <c r="Q87" s="56"/>
      <c r="R87" s="56"/>
      <c r="S87" s="119"/>
      <c r="T87" s="119"/>
      <c r="U87" s="119"/>
      <c r="V87" s="119"/>
      <c r="W87" s="107"/>
      <c r="X87" s="105"/>
      <c r="Y87" s="109">
        <f t="shared" ref="Y87" si="93">SQRT((B87-B88)^2+(C87-C88)^2)</f>
        <v>16.120868462959521</v>
      </c>
      <c r="Z87" s="68">
        <f t="shared" si="73"/>
        <v>-12.388000000002648</v>
      </c>
      <c r="AA87" s="1">
        <f t="shared" si="73"/>
        <v>10.315999999998894</v>
      </c>
      <c r="AB87" s="10">
        <f t="shared" si="74"/>
        <v>0.83274136260870912</v>
      </c>
      <c r="AC87" s="1">
        <f t="shared" si="75"/>
        <v>0.69438881469919123</v>
      </c>
      <c r="AD87" s="1">
        <f t="shared" si="76"/>
        <v>39</v>
      </c>
      <c r="AE87" s="69">
        <f t="shared" si="77"/>
        <v>47.132905401326184</v>
      </c>
      <c r="AF87" s="71" t="str">
        <f t="shared" si="78"/>
        <v>ЮВ</v>
      </c>
      <c r="AG87" s="1">
        <f t="shared" si="79"/>
        <v>2.4472038388906019</v>
      </c>
      <c r="AH87" s="72">
        <f t="shared" si="80"/>
        <v>140</v>
      </c>
      <c r="AI87" s="73">
        <f t="shared" si="81"/>
        <v>12.867094598673816</v>
      </c>
      <c r="AJ87" s="1">
        <f>((1+COS(2*(AH87)))/2)*Y87</f>
        <v>0.63081296931075059</v>
      </c>
      <c r="AK87" s="111"/>
      <c r="AL87" s="113"/>
    </row>
    <row r="88" spans="1:38" x14ac:dyDescent="0.3">
      <c r="A88" s="16">
        <v>79</v>
      </c>
      <c r="B88" s="12">
        <v>24723.383999999998</v>
      </c>
      <c r="C88" s="35">
        <v>13261.74</v>
      </c>
      <c r="D88" s="99"/>
      <c r="E88" s="101"/>
      <c r="F88" s="103"/>
      <c r="G88" s="116"/>
      <c r="H88" s="40" t="s">
        <v>119</v>
      </c>
      <c r="I88" s="45">
        <v>122.986</v>
      </c>
      <c r="J88" s="119"/>
      <c r="K88" s="121"/>
      <c r="L88" s="113"/>
      <c r="M88" s="56"/>
      <c r="N88" s="56"/>
      <c r="O88" s="56"/>
      <c r="P88" s="56"/>
      <c r="Q88" s="56"/>
      <c r="R88" s="56"/>
      <c r="S88" s="119"/>
      <c r="T88" s="119"/>
      <c r="U88" s="119"/>
      <c r="V88" s="119"/>
      <c r="W88" s="107"/>
      <c r="X88" s="110">
        <f t="shared" ref="X88" si="94">SQRT((B88-B89)^2+(C88-C89)^2)</f>
        <v>18.805919599954755</v>
      </c>
      <c r="Y88" s="109"/>
      <c r="Z88" s="68">
        <f t="shared" si="73"/>
        <v>-12.865999999998166</v>
      </c>
      <c r="AA88" s="1">
        <f t="shared" si="73"/>
        <v>-13.716000000000349</v>
      </c>
      <c r="AB88" s="10">
        <f t="shared" si="74"/>
        <v>1.0660655992540264</v>
      </c>
      <c r="AC88" s="1">
        <f t="shared" si="75"/>
        <v>0.81736379690094663</v>
      </c>
      <c r="AD88" s="1">
        <f t="shared" si="76"/>
        <v>46</v>
      </c>
      <c r="AE88" s="69">
        <f t="shared" si="77"/>
        <v>49.889753352746453</v>
      </c>
      <c r="AF88" s="71" t="str">
        <f t="shared" si="78"/>
        <v>ЮЗ</v>
      </c>
      <c r="AG88" s="1">
        <f t="shared" si="79"/>
        <v>3.9589564504907395</v>
      </c>
      <c r="AH88" s="72">
        <f t="shared" si="80"/>
        <v>226</v>
      </c>
      <c r="AI88" s="73">
        <f t="shared" si="81"/>
        <v>49.889753352745174</v>
      </c>
      <c r="AJ88" s="1">
        <f>((1+COS(2*(AH88)))/2)*X88</f>
        <v>18.102192490038604</v>
      </c>
      <c r="AK88" s="111"/>
      <c r="AL88" s="113"/>
    </row>
    <row r="89" spans="1:38" x14ac:dyDescent="0.3">
      <c r="A89" s="16">
        <v>80</v>
      </c>
      <c r="B89" s="12">
        <v>24710.518</v>
      </c>
      <c r="C89" s="35">
        <v>13248.023999999999</v>
      </c>
      <c r="D89" s="99"/>
      <c r="E89" s="101"/>
      <c r="F89" s="103"/>
      <c r="G89" s="116"/>
      <c r="H89" s="40" t="s">
        <v>120</v>
      </c>
      <c r="I89" s="45">
        <v>136.702</v>
      </c>
      <c r="J89" s="119"/>
      <c r="K89" s="121"/>
      <c r="L89" s="113"/>
      <c r="M89" s="56"/>
      <c r="N89" s="56"/>
      <c r="O89" s="56"/>
      <c r="P89" s="56"/>
      <c r="Q89" s="56"/>
      <c r="R89" s="56"/>
      <c r="S89" s="119"/>
      <c r="T89" s="119"/>
      <c r="U89" s="119"/>
      <c r="V89" s="119"/>
      <c r="W89" s="107"/>
      <c r="X89" s="105"/>
      <c r="Y89" s="109">
        <f t="shared" ref="Y89" si="95">SQRT((B89-B90)^2+(C89-C90)^2)</f>
        <v>34.996660197796771</v>
      </c>
      <c r="Z89" s="68">
        <f t="shared" si="73"/>
        <v>-33.897000000000844</v>
      </c>
      <c r="AA89" s="1">
        <f t="shared" si="73"/>
        <v>8.7039999999997235</v>
      </c>
      <c r="AB89" s="10">
        <f t="shared" si="74"/>
        <v>0.25677788594859446</v>
      </c>
      <c r="AC89" s="1">
        <f t="shared" si="75"/>
        <v>0.25134760647806048</v>
      </c>
      <c r="AD89" s="1">
        <f t="shared" si="76"/>
        <v>14</v>
      </c>
      <c r="AE89" s="69">
        <f t="shared" si="77"/>
        <v>24.069422514476173</v>
      </c>
      <c r="AF89" s="71" t="str">
        <f t="shared" si="78"/>
        <v>ЮВ</v>
      </c>
      <c r="AG89" s="1">
        <f t="shared" si="79"/>
        <v>2.8902450471117325</v>
      </c>
      <c r="AH89" s="72">
        <f t="shared" si="80"/>
        <v>165</v>
      </c>
      <c r="AI89" s="73">
        <f t="shared" si="81"/>
        <v>35.930577485523827</v>
      </c>
      <c r="AJ89" s="1">
        <f>((1+COS(2*(AH89)))/2)*Y89</f>
        <v>0.15400592218663461</v>
      </c>
      <c r="AK89" s="111"/>
      <c r="AL89" s="113"/>
    </row>
    <row r="90" spans="1:38" x14ac:dyDescent="0.3">
      <c r="A90" s="16">
        <v>81</v>
      </c>
      <c r="B90" s="12">
        <v>24676.620999999999</v>
      </c>
      <c r="C90" s="35">
        <v>13256.727999999999</v>
      </c>
      <c r="D90" s="99"/>
      <c r="E90" s="101"/>
      <c r="F90" s="103"/>
      <c r="G90" s="116"/>
      <c r="H90" s="40" t="s">
        <v>121</v>
      </c>
      <c r="I90" s="45">
        <v>127.998</v>
      </c>
      <c r="J90" s="119"/>
      <c r="K90" s="121"/>
      <c r="L90" s="113"/>
      <c r="M90" s="56"/>
      <c r="N90" s="56"/>
      <c r="O90" s="56"/>
      <c r="P90" s="56"/>
      <c r="Q90" s="56"/>
      <c r="R90" s="56"/>
      <c r="S90" s="119"/>
      <c r="T90" s="119"/>
      <c r="U90" s="119"/>
      <c r="V90" s="119"/>
      <c r="W90" s="107"/>
      <c r="X90" s="110">
        <f t="shared" ref="X90" si="96">SQRT((B90-B91)^2+(C90-C91)^2)</f>
        <v>22.184553297281816</v>
      </c>
      <c r="Y90" s="109"/>
      <c r="Z90" s="68">
        <f t="shared" si="73"/>
        <v>-12.47899999999936</v>
      </c>
      <c r="AA90" s="1">
        <f t="shared" si="73"/>
        <v>-18.341999999998734</v>
      </c>
      <c r="AB90" s="10">
        <f t="shared" si="74"/>
        <v>1.4698293132462277</v>
      </c>
      <c r="AC90" s="1">
        <f t="shared" si="75"/>
        <v>0.97337961849010557</v>
      </c>
      <c r="AD90" s="1">
        <f t="shared" si="76"/>
        <v>55</v>
      </c>
      <c r="AE90" s="69">
        <f t="shared" si="77"/>
        <v>46.232640212236475</v>
      </c>
      <c r="AF90" s="71" t="str">
        <f t="shared" si="78"/>
        <v>ЮЗ</v>
      </c>
      <c r="AG90" s="1">
        <f t="shared" si="79"/>
        <v>4.1149722720798989</v>
      </c>
      <c r="AH90" s="72">
        <f t="shared" si="80"/>
        <v>235</v>
      </c>
      <c r="AI90" s="73">
        <f t="shared" si="81"/>
        <v>46.232640212236902</v>
      </c>
      <c r="AJ90" s="1">
        <f>((1+COS(2*(AH90)))/2)*X90</f>
        <v>14.706565266084986</v>
      </c>
      <c r="AK90" s="111"/>
      <c r="AL90" s="113"/>
    </row>
    <row r="91" spans="1:38" x14ac:dyDescent="0.3">
      <c r="A91" s="16">
        <v>82</v>
      </c>
      <c r="B91" s="12">
        <v>24664.142</v>
      </c>
      <c r="C91" s="35">
        <v>13238.386</v>
      </c>
      <c r="D91" s="99"/>
      <c r="E91" s="101"/>
      <c r="F91" s="103"/>
      <c r="G91" s="116"/>
      <c r="H91" s="40" t="s">
        <v>122</v>
      </c>
      <c r="I91" s="45">
        <v>146.34</v>
      </c>
      <c r="J91" s="119"/>
      <c r="K91" s="121"/>
      <c r="L91" s="113"/>
      <c r="M91" s="56"/>
      <c r="N91" s="56"/>
      <c r="O91" s="56"/>
      <c r="P91" s="56"/>
      <c r="Q91" s="56"/>
      <c r="R91" s="56"/>
      <c r="S91" s="119"/>
      <c r="T91" s="119"/>
      <c r="U91" s="119"/>
      <c r="V91" s="119"/>
      <c r="W91" s="107"/>
      <c r="X91" s="105"/>
      <c r="Y91" s="109">
        <f t="shared" ref="Y91" si="97">SQRT((B91-B92)^2+(C91-C92)^2)</f>
        <v>99.327735406583386</v>
      </c>
      <c r="Z91" s="68">
        <f t="shared" si="73"/>
        <v>-92.68500000000131</v>
      </c>
      <c r="AA91" s="1">
        <f t="shared" si="73"/>
        <v>35.713999999999942</v>
      </c>
      <c r="AB91" s="10">
        <f t="shared" si="74"/>
        <v>0.38532664400927269</v>
      </c>
      <c r="AC91" s="1">
        <f t="shared" si="75"/>
        <v>0.36779328837314473</v>
      </c>
      <c r="AD91" s="1">
        <f t="shared" si="76"/>
        <v>21</v>
      </c>
      <c r="AE91" s="69">
        <f t="shared" si="77"/>
        <v>4.3801894211522807</v>
      </c>
      <c r="AF91" s="71" t="str">
        <f t="shared" si="78"/>
        <v>ЮВ</v>
      </c>
      <c r="AG91" s="1">
        <f t="shared" si="79"/>
        <v>2.7737993652166484</v>
      </c>
      <c r="AH91" s="72">
        <f t="shared" si="80"/>
        <v>158</v>
      </c>
      <c r="AI91" s="73">
        <f t="shared" si="81"/>
        <v>55.619810578847932</v>
      </c>
      <c r="AJ91" s="1">
        <f>((1+COS(2*(AH91)))/2)*Y91</f>
        <v>36.419905508779927</v>
      </c>
      <c r="AK91" s="111"/>
      <c r="AL91" s="113"/>
    </row>
    <row r="92" spans="1:38" x14ac:dyDescent="0.3">
      <c r="A92" s="16">
        <v>83</v>
      </c>
      <c r="B92" s="12">
        <v>24571.456999999999</v>
      </c>
      <c r="C92" s="35">
        <v>13274.1</v>
      </c>
      <c r="D92" s="99"/>
      <c r="E92" s="101"/>
      <c r="F92" s="103"/>
      <c r="G92" s="116"/>
      <c r="H92" s="40" t="s">
        <v>123</v>
      </c>
      <c r="I92" s="45">
        <v>110.626</v>
      </c>
      <c r="J92" s="119"/>
      <c r="K92" s="121"/>
      <c r="L92" s="113"/>
      <c r="M92" s="56"/>
      <c r="N92" s="56"/>
      <c r="O92" s="56"/>
      <c r="P92" s="56"/>
      <c r="Q92" s="56"/>
      <c r="R92" s="56"/>
      <c r="S92" s="119"/>
      <c r="T92" s="119"/>
      <c r="U92" s="119"/>
      <c r="V92" s="119"/>
      <c r="W92" s="107"/>
      <c r="X92" s="110">
        <f t="shared" ref="X92" si="98">SQRT((B92-B93)^2+(C92-C93)^2)</f>
        <v>26.281690223421485</v>
      </c>
      <c r="Y92" s="109"/>
      <c r="Z92" s="68">
        <f t="shared" si="73"/>
        <v>-24.039999999997235</v>
      </c>
      <c r="AA92" s="1">
        <f t="shared" si="73"/>
        <v>-10.621000000001004</v>
      </c>
      <c r="AB92" s="10">
        <f t="shared" si="74"/>
        <v>0.44180532445932719</v>
      </c>
      <c r="AC92" s="1">
        <f t="shared" si="75"/>
        <v>0.41601837126545838</v>
      </c>
      <c r="AD92" s="1">
        <f t="shared" si="76"/>
        <v>23</v>
      </c>
      <c r="AE92" s="69">
        <f t="shared" si="77"/>
        <v>50.165812405039532</v>
      </c>
      <c r="AF92" s="71" t="str">
        <f t="shared" si="78"/>
        <v>ЮЗ</v>
      </c>
      <c r="AG92" s="1">
        <f t="shared" si="79"/>
        <v>3.5576110248552517</v>
      </c>
      <c r="AH92" s="72">
        <f t="shared" si="80"/>
        <v>203</v>
      </c>
      <c r="AI92" s="73">
        <f t="shared" si="81"/>
        <v>50.165812405040811</v>
      </c>
      <c r="AJ92" s="1">
        <f>((1+COS(2*(AH92)))/2)*X92</f>
        <v>3.3885772595139576</v>
      </c>
      <c r="AK92" s="111"/>
      <c r="AL92" s="113"/>
    </row>
    <row r="93" spans="1:38" ht="15" thickBot="1" x14ac:dyDescent="0.35">
      <c r="A93" s="15">
        <v>84</v>
      </c>
      <c r="B93" s="13">
        <v>24547.417000000001</v>
      </c>
      <c r="C93" s="34">
        <v>13263.478999999999</v>
      </c>
      <c r="D93" s="99"/>
      <c r="E93" s="101"/>
      <c r="F93" s="103"/>
      <c r="G93" s="117"/>
      <c r="H93" s="43" t="s">
        <v>124</v>
      </c>
      <c r="I93" s="46">
        <v>121.247</v>
      </c>
      <c r="J93" s="123"/>
      <c r="K93" s="122"/>
      <c r="L93" s="113"/>
      <c r="M93" s="56"/>
      <c r="N93" s="56"/>
      <c r="O93" s="56"/>
      <c r="P93" s="56"/>
      <c r="Q93" s="56"/>
      <c r="R93" s="56"/>
      <c r="S93" s="119"/>
      <c r="T93" s="119"/>
      <c r="U93" s="119"/>
      <c r="V93" s="119"/>
      <c r="W93" s="107"/>
      <c r="X93" s="105"/>
      <c r="Y93" s="109">
        <f t="shared" ref="Y93" si="99">SQRT((B93-B94)^2+(C93-C94)^2)</f>
        <v>80.000106424929569</v>
      </c>
      <c r="Z93" s="68">
        <f t="shared" si="73"/>
        <v>-11.618000000002212</v>
      </c>
      <c r="AA93" s="1">
        <f t="shared" si="73"/>
        <v>-79.152000000000044</v>
      </c>
      <c r="AB93" s="10">
        <f t="shared" si="74"/>
        <v>6.8128765708370613</v>
      </c>
      <c r="AC93" s="1">
        <f t="shared" si="75"/>
        <v>1.4250561424872334</v>
      </c>
      <c r="AD93" s="1">
        <f t="shared" si="76"/>
        <v>81</v>
      </c>
      <c r="AE93" s="69">
        <f t="shared" si="77"/>
        <v>38.982152022729508</v>
      </c>
      <c r="AF93" s="71" t="str">
        <f t="shared" si="78"/>
        <v>ЮЗ</v>
      </c>
      <c r="AG93" s="1">
        <f t="shared" si="79"/>
        <v>4.5666487960770263</v>
      </c>
      <c r="AH93" s="72">
        <f t="shared" si="80"/>
        <v>261</v>
      </c>
      <c r="AI93" s="73">
        <f t="shared" si="81"/>
        <v>38.98215202272695</v>
      </c>
      <c r="AJ93" s="1">
        <f>((1+COS(2*(AH93)))/2)*Y93</f>
        <v>75.187070299804233</v>
      </c>
      <c r="AK93" s="111"/>
      <c r="AL93" s="113"/>
    </row>
    <row r="94" spans="1:38" x14ac:dyDescent="0.3">
      <c r="A94" s="15">
        <v>85</v>
      </c>
      <c r="B94" s="13">
        <v>24535.798999999999</v>
      </c>
      <c r="C94" s="34">
        <v>13184.326999999999</v>
      </c>
      <c r="D94" s="99"/>
      <c r="E94" s="101"/>
      <c r="F94" s="103"/>
      <c r="G94" s="115" t="s">
        <v>125</v>
      </c>
      <c r="H94" s="41" t="s">
        <v>126</v>
      </c>
      <c r="I94" s="44">
        <v>62.686999999999998</v>
      </c>
      <c r="J94" s="118">
        <f>SUM(I94:I123)</f>
        <v>1191.4360000000001</v>
      </c>
      <c r="K94" s="120">
        <f>J94^2</f>
        <v>1419519.7420960004</v>
      </c>
      <c r="L94" s="113"/>
      <c r="M94" s="56"/>
      <c r="N94" s="56"/>
      <c r="O94" s="56"/>
      <c r="P94" s="56"/>
      <c r="Q94" s="56"/>
      <c r="R94" s="56"/>
      <c r="S94" s="119"/>
      <c r="T94" s="119"/>
      <c r="U94" s="119"/>
      <c r="V94" s="119"/>
      <c r="W94" s="107"/>
      <c r="X94" s="110">
        <f t="shared" ref="X94" si="100">SQRT((B94-B95)^2+(C94-C95)^2)</f>
        <v>30.643123372136341</v>
      </c>
      <c r="Y94" s="109"/>
      <c r="Z94" s="68">
        <f t="shared" si="73"/>
        <v>-4.6189999999987776</v>
      </c>
      <c r="AA94" s="1">
        <f t="shared" si="73"/>
        <v>-30.292999999999665</v>
      </c>
      <c r="AB94" s="10">
        <f t="shared" si="74"/>
        <v>6.5583459623311713</v>
      </c>
      <c r="AC94" s="1">
        <f t="shared" si="75"/>
        <v>1.4194843106205353</v>
      </c>
      <c r="AD94" s="1">
        <f t="shared" si="76"/>
        <v>81</v>
      </c>
      <c r="AE94" s="69">
        <f t="shared" si="77"/>
        <v>19.827605015630922</v>
      </c>
      <c r="AF94" s="71" t="str">
        <f t="shared" si="78"/>
        <v>ЮЗ</v>
      </c>
      <c r="AG94" s="1">
        <f t="shared" si="79"/>
        <v>4.5610769642103284</v>
      </c>
      <c r="AH94" s="72">
        <f t="shared" si="80"/>
        <v>261</v>
      </c>
      <c r="AI94" s="73">
        <f t="shared" si="81"/>
        <v>19.82760501563007</v>
      </c>
      <c r="AJ94" s="1">
        <f>((1+COS(2*(AH94)))/2)*X94</f>
        <v>28.799545077460408</v>
      </c>
      <c r="AK94" s="111"/>
      <c r="AL94" s="113"/>
    </row>
    <row r="95" spans="1:38" x14ac:dyDescent="0.3">
      <c r="A95" s="16">
        <v>86</v>
      </c>
      <c r="B95" s="12">
        <v>24531.18</v>
      </c>
      <c r="C95" s="35">
        <v>13154.034</v>
      </c>
      <c r="D95" s="99" t="s">
        <v>15</v>
      </c>
      <c r="E95" s="101">
        <f>AVERAGE(B93:B124)</f>
        <v>24458.405031250004</v>
      </c>
      <c r="F95" s="103">
        <f>AVERAGE(C93:C124)</f>
        <v>13247.013687500004</v>
      </c>
      <c r="G95" s="116"/>
      <c r="H95" s="40" t="s">
        <v>127</v>
      </c>
      <c r="I95" s="45">
        <v>92.974999999999994</v>
      </c>
      <c r="J95" s="119"/>
      <c r="K95" s="121"/>
      <c r="L95" s="113"/>
      <c r="M95" s="56"/>
      <c r="N95" s="56"/>
      <c r="O95" s="56"/>
      <c r="P95" s="56"/>
      <c r="Q95" s="56"/>
      <c r="R95" s="56"/>
      <c r="S95" s="119"/>
      <c r="T95" s="119"/>
      <c r="U95" s="119"/>
      <c r="V95" s="119"/>
      <c r="W95" s="107"/>
      <c r="X95" s="105"/>
      <c r="Y95" s="109">
        <f t="shared" ref="Y95" si="101">SQRT((B95-B96)^2+(C95-C96)^2)</f>
        <v>34.280257948272848</v>
      </c>
      <c r="Z95" s="68">
        <f t="shared" si="73"/>
        <v>-33.75800000000163</v>
      </c>
      <c r="AA95" s="1">
        <f t="shared" si="73"/>
        <v>5.9610000000011496</v>
      </c>
      <c r="AB95" s="10">
        <f t="shared" si="74"/>
        <v>0.1765803661354601</v>
      </c>
      <c r="AC95" s="1">
        <f t="shared" si="75"/>
        <v>0.17477865946794044</v>
      </c>
      <c r="AD95" s="1">
        <f t="shared" si="76"/>
        <v>10</v>
      </c>
      <c r="AE95" s="69">
        <f t="shared" si="77"/>
        <v>0.84477218803286291</v>
      </c>
      <c r="AF95" s="71" t="str">
        <f t="shared" si="78"/>
        <v>ЮВ</v>
      </c>
      <c r="AG95" s="1">
        <f t="shared" si="79"/>
        <v>2.9668139941218525</v>
      </c>
      <c r="AH95" s="72">
        <f t="shared" si="80"/>
        <v>169</v>
      </c>
      <c r="AI95" s="73">
        <f t="shared" si="81"/>
        <v>59.155227811966711</v>
      </c>
      <c r="AJ95" s="1">
        <f>((1+COS(2*(AH95)))/2)*Y95</f>
        <v>21.856960808185573</v>
      </c>
      <c r="AK95" s="111"/>
      <c r="AL95" s="113"/>
    </row>
    <row r="96" spans="1:38" x14ac:dyDescent="0.3">
      <c r="A96" s="16">
        <v>87</v>
      </c>
      <c r="B96" s="12">
        <v>24497.421999999999</v>
      </c>
      <c r="C96" s="35">
        <v>13159.995000000001</v>
      </c>
      <c r="D96" s="99"/>
      <c r="E96" s="101"/>
      <c r="F96" s="103"/>
      <c r="G96" s="116"/>
      <c r="H96" s="40" t="s">
        <v>128</v>
      </c>
      <c r="I96" s="45">
        <v>87.054000000000002</v>
      </c>
      <c r="J96" s="119"/>
      <c r="K96" s="121"/>
      <c r="L96" s="113"/>
      <c r="M96" s="56"/>
      <c r="N96" s="56"/>
      <c r="O96" s="56"/>
      <c r="P96" s="56"/>
      <c r="Q96" s="56"/>
      <c r="R96" s="56"/>
      <c r="S96" s="119"/>
      <c r="T96" s="119"/>
      <c r="U96" s="119"/>
      <c r="V96" s="119"/>
      <c r="W96" s="107"/>
      <c r="X96" s="110">
        <f t="shared" ref="X96" si="102">SQRT((B96-B97)^2+(C96-C97)^2)</f>
        <v>44.883102945316935</v>
      </c>
      <c r="Y96" s="109"/>
      <c r="Z96" s="68">
        <f t="shared" si="73"/>
        <v>-30.422999999998865</v>
      </c>
      <c r="AA96" s="1">
        <f t="shared" si="73"/>
        <v>32.998999999999796</v>
      </c>
      <c r="AB96" s="10">
        <f t="shared" si="74"/>
        <v>1.0846727804621841</v>
      </c>
      <c r="AC96" s="1">
        <f t="shared" si="75"/>
        <v>0.82599267059823489</v>
      </c>
      <c r="AD96" s="1">
        <f t="shared" si="76"/>
        <v>47</v>
      </c>
      <c r="AE96" s="69">
        <f t="shared" si="77"/>
        <v>19.553636041110138</v>
      </c>
      <c r="AF96" s="71" t="str">
        <f t="shared" si="78"/>
        <v>ЮВ</v>
      </c>
      <c r="AG96" s="1">
        <f t="shared" si="79"/>
        <v>2.3155999829915581</v>
      </c>
      <c r="AH96" s="72">
        <f t="shared" si="80"/>
        <v>132</v>
      </c>
      <c r="AI96" s="73">
        <f t="shared" si="81"/>
        <v>40.446363958890288</v>
      </c>
      <c r="AJ96" s="1">
        <f>((1+COS(2*(AH96)))/2)*X96</f>
        <v>44.756628320602751</v>
      </c>
      <c r="AK96" s="111"/>
      <c r="AL96" s="113"/>
    </row>
    <row r="97" spans="1:38" x14ac:dyDescent="0.3">
      <c r="A97" s="16">
        <v>88</v>
      </c>
      <c r="B97" s="12">
        <v>24466.999</v>
      </c>
      <c r="C97" s="35">
        <v>13192.994000000001</v>
      </c>
      <c r="D97" s="99"/>
      <c r="E97" s="101"/>
      <c r="F97" s="103"/>
      <c r="G97" s="116"/>
      <c r="H97" s="40" t="s">
        <v>129</v>
      </c>
      <c r="I97" s="45">
        <v>54.02</v>
      </c>
      <c r="J97" s="119"/>
      <c r="K97" s="121"/>
      <c r="L97" s="113"/>
      <c r="M97" s="56"/>
      <c r="N97" s="56"/>
      <c r="O97" s="56"/>
      <c r="P97" s="56"/>
      <c r="Q97" s="56"/>
      <c r="R97" s="56"/>
      <c r="S97" s="119"/>
      <c r="T97" s="119"/>
      <c r="U97" s="119"/>
      <c r="V97" s="119"/>
      <c r="W97" s="107"/>
      <c r="X97" s="105"/>
      <c r="Y97" s="109">
        <f t="shared" ref="Y97" si="103">SQRT((B97-B98)^2+(C97-C98)^2)</f>
        <v>74.838029931310615</v>
      </c>
      <c r="Z97" s="68">
        <f t="shared" si="73"/>
        <v>-49.43999999999869</v>
      </c>
      <c r="AA97" s="1">
        <f t="shared" si="73"/>
        <v>56.18199999999888</v>
      </c>
      <c r="AB97" s="10">
        <f t="shared" si="74"/>
        <v>1.136367313915865</v>
      </c>
      <c r="AC97" s="1">
        <f t="shared" si="75"/>
        <v>0.84914308091844226</v>
      </c>
      <c r="AD97" s="1">
        <f t="shared" si="76"/>
        <v>48</v>
      </c>
      <c r="AE97" s="69">
        <f t="shared" si="77"/>
        <v>39.138884361749291</v>
      </c>
      <c r="AF97" s="71" t="str">
        <f t="shared" si="78"/>
        <v>ЮВ</v>
      </c>
      <c r="AG97" s="1">
        <f t="shared" si="79"/>
        <v>2.2924495726713507</v>
      </c>
      <c r="AH97" s="72">
        <f t="shared" si="80"/>
        <v>131</v>
      </c>
      <c r="AI97" s="73">
        <f t="shared" si="81"/>
        <v>20.86111563824943</v>
      </c>
      <c r="AJ97" s="1">
        <f>((1+COS(2*(AH97)))/2)*Y97</f>
        <v>25.542215274070116</v>
      </c>
      <c r="AK97" s="111"/>
      <c r="AL97" s="113"/>
    </row>
    <row r="98" spans="1:38" x14ac:dyDescent="0.3">
      <c r="A98" s="16">
        <v>89</v>
      </c>
      <c r="B98" s="12">
        <v>24417.559000000001</v>
      </c>
      <c r="C98" s="35">
        <v>13249.175999999999</v>
      </c>
      <c r="D98" s="99"/>
      <c r="E98" s="101"/>
      <c r="F98" s="103"/>
      <c r="G98" s="116"/>
      <c r="H98" s="40" t="s">
        <v>130</v>
      </c>
      <c r="I98" s="45">
        <v>1.9770000000000001</v>
      </c>
      <c r="J98" s="119"/>
      <c r="K98" s="121"/>
      <c r="L98" s="113"/>
      <c r="M98" s="56"/>
      <c r="N98" s="56"/>
      <c r="O98" s="56"/>
      <c r="P98" s="56"/>
      <c r="Q98" s="56"/>
      <c r="R98" s="56"/>
      <c r="S98" s="119"/>
      <c r="T98" s="119"/>
      <c r="U98" s="119"/>
      <c r="V98" s="119"/>
      <c r="W98" s="107"/>
      <c r="X98" s="110">
        <f t="shared" ref="X98" si="104">SQRT((B98-B99)^2+(C98-C99)^2)</f>
        <v>24.849902213087255</v>
      </c>
      <c r="Y98" s="109"/>
      <c r="Z98" s="68">
        <f t="shared" si="73"/>
        <v>7.6779999999998836</v>
      </c>
      <c r="AA98" s="1">
        <f t="shared" si="73"/>
        <v>23.634000000000015</v>
      </c>
      <c r="AB98" s="10">
        <f t="shared" si="74"/>
        <v>3.0781453503517024</v>
      </c>
      <c r="AC98" s="1">
        <f t="shared" si="75"/>
        <v>1.2566811546856369</v>
      </c>
      <c r="AD98" s="1">
        <f t="shared" si="76"/>
        <v>72</v>
      </c>
      <c r="AE98" s="69">
        <f t="shared" si="77"/>
        <v>0.15158142683702636</v>
      </c>
      <c r="AF98" s="71" t="str">
        <f t="shared" si="78"/>
        <v>СВ</v>
      </c>
      <c r="AG98" s="1">
        <f t="shared" si="79"/>
        <v>1.2566811546856369</v>
      </c>
      <c r="AH98" s="72">
        <f t="shared" si="80"/>
        <v>72</v>
      </c>
      <c r="AI98" s="73">
        <f t="shared" si="81"/>
        <v>0.15158142683702636</v>
      </c>
      <c r="AJ98" s="1">
        <f>((1+COS(2*(AH98)))/2)*X98</f>
        <v>23.24891497096305</v>
      </c>
      <c r="AK98" s="111"/>
      <c r="AL98" s="113"/>
    </row>
    <row r="99" spans="1:38" x14ac:dyDescent="0.3">
      <c r="A99" s="16">
        <v>90</v>
      </c>
      <c r="B99" s="12">
        <v>24425.237000000001</v>
      </c>
      <c r="C99" s="35">
        <v>13272.81</v>
      </c>
      <c r="D99" s="99"/>
      <c r="E99" s="101"/>
      <c r="F99" s="103"/>
      <c r="G99" s="116"/>
      <c r="H99" s="40" t="s">
        <v>131</v>
      </c>
      <c r="I99" s="45">
        <v>25.683</v>
      </c>
      <c r="J99" s="119"/>
      <c r="K99" s="121"/>
      <c r="L99" s="113"/>
      <c r="M99" s="56"/>
      <c r="N99" s="56"/>
      <c r="O99" s="56"/>
      <c r="P99" s="56"/>
      <c r="Q99" s="56"/>
      <c r="R99" s="56"/>
      <c r="S99" s="119"/>
      <c r="T99" s="119"/>
      <c r="U99" s="119"/>
      <c r="V99" s="119"/>
      <c r="W99" s="107"/>
      <c r="X99" s="105"/>
      <c r="Y99" s="109">
        <f t="shared" ref="Y99" si="105">SQRT((B99-B100)^2+(C99-C100)^2)</f>
        <v>23.685376754444249</v>
      </c>
      <c r="Z99" s="68">
        <f t="shared" si="73"/>
        <v>19.223999999998341</v>
      </c>
      <c r="AA99" s="1">
        <f t="shared" si="73"/>
        <v>13.83600000000115</v>
      </c>
      <c r="AB99" s="10">
        <f t="shared" si="74"/>
        <v>0.71972534332097082</v>
      </c>
      <c r="AC99" s="1">
        <f t="shared" si="75"/>
        <v>0.623842143828097</v>
      </c>
      <c r="AD99" s="1">
        <f t="shared" si="76"/>
        <v>35</v>
      </c>
      <c r="AE99" s="69">
        <f t="shared" si="77"/>
        <v>44.611315424594267</v>
      </c>
      <c r="AF99" s="71" t="str">
        <f t="shared" si="78"/>
        <v>СВ</v>
      </c>
      <c r="AG99" s="1">
        <f t="shared" si="79"/>
        <v>0.623842143828097</v>
      </c>
      <c r="AH99" s="72">
        <f t="shared" si="80"/>
        <v>35</v>
      </c>
      <c r="AI99" s="73">
        <f t="shared" si="81"/>
        <v>44.611315424594267</v>
      </c>
      <c r="AJ99" s="1">
        <f>((1+COS(2*(AH99)))/2)*Y99</f>
        <v>19.342890342683827</v>
      </c>
      <c r="AK99" s="111"/>
      <c r="AL99" s="113"/>
    </row>
    <row r="100" spans="1:38" x14ac:dyDescent="0.3">
      <c r="A100" s="16">
        <v>91</v>
      </c>
      <c r="B100" s="12">
        <v>24444.460999999999</v>
      </c>
      <c r="C100" s="35">
        <v>13286.646000000001</v>
      </c>
      <c r="D100" s="99"/>
      <c r="E100" s="101"/>
      <c r="F100" s="103"/>
      <c r="G100" s="116"/>
      <c r="H100" s="40" t="s">
        <v>132</v>
      </c>
      <c r="I100" s="45">
        <v>39.631999999999998</v>
      </c>
      <c r="J100" s="119"/>
      <c r="K100" s="121"/>
      <c r="L100" s="113"/>
      <c r="M100" s="56"/>
      <c r="N100" s="56"/>
      <c r="O100" s="56"/>
      <c r="P100" s="56"/>
      <c r="Q100" s="56"/>
      <c r="R100" s="56"/>
      <c r="S100" s="119"/>
      <c r="T100" s="119"/>
      <c r="U100" s="119"/>
      <c r="V100" s="119"/>
      <c r="W100" s="107"/>
      <c r="X100" s="110">
        <f t="shared" ref="X100" si="106">SQRT((B100-B101)^2+(C100-C101)^2)</f>
        <v>16.360982152672005</v>
      </c>
      <c r="Y100" s="109"/>
      <c r="Z100" s="68">
        <f t="shared" si="73"/>
        <v>16.204000000001543</v>
      </c>
      <c r="AA100" s="1">
        <f t="shared" si="73"/>
        <v>-2.261000000000422</v>
      </c>
      <c r="AB100" s="10">
        <f t="shared" si="74"/>
        <v>0.13953344853123961</v>
      </c>
      <c r="AC100" s="1">
        <f t="shared" si="75"/>
        <v>0.1386383293536492</v>
      </c>
      <c r="AD100" s="1">
        <f t="shared" si="76"/>
        <v>7</v>
      </c>
      <c r="AE100" s="69">
        <f t="shared" si="77"/>
        <v>56.603469042526413</v>
      </c>
      <c r="AF100" s="71" t="str">
        <f t="shared" si="78"/>
        <v>СЗ</v>
      </c>
      <c r="AG100" s="1">
        <f t="shared" si="79"/>
        <v>6.1445469778259367</v>
      </c>
      <c r="AH100" s="72">
        <f t="shared" si="80"/>
        <v>352</v>
      </c>
      <c r="AI100" s="73">
        <f t="shared" si="81"/>
        <v>3.3965309574716684</v>
      </c>
      <c r="AJ100" s="1">
        <f>((1+COS(2*(AH100)))/2)*X100</f>
        <v>16.035017718495091</v>
      </c>
      <c r="AK100" s="111"/>
      <c r="AL100" s="113"/>
    </row>
    <row r="101" spans="1:38" x14ac:dyDescent="0.3">
      <c r="A101" s="16">
        <v>92</v>
      </c>
      <c r="B101" s="12">
        <v>24460.665000000001</v>
      </c>
      <c r="C101" s="35">
        <v>13284.385</v>
      </c>
      <c r="D101" s="99"/>
      <c r="E101" s="101"/>
      <c r="F101" s="103"/>
      <c r="G101" s="116"/>
      <c r="H101" s="40" t="s">
        <v>133</v>
      </c>
      <c r="I101" s="45">
        <v>37.371000000000002</v>
      </c>
      <c r="J101" s="119"/>
      <c r="K101" s="121"/>
      <c r="L101" s="113"/>
      <c r="M101" s="56"/>
      <c r="N101" s="56"/>
      <c r="O101" s="56"/>
      <c r="P101" s="56"/>
      <c r="Q101" s="56"/>
      <c r="R101" s="56"/>
      <c r="S101" s="119"/>
      <c r="T101" s="119"/>
      <c r="U101" s="119"/>
      <c r="V101" s="119"/>
      <c r="W101" s="107"/>
      <c r="X101" s="105"/>
      <c r="Y101" s="109">
        <f t="shared" ref="Y101" si="107">SQRT((B101-B102)^2+(C101-C102)^2)</f>
        <v>54.111443493959342</v>
      </c>
      <c r="Z101" s="68">
        <f t="shared" si="73"/>
        <v>37.210999999999331</v>
      </c>
      <c r="AA101" s="1">
        <f t="shared" si="73"/>
        <v>-39.286000000000058</v>
      </c>
      <c r="AB101" s="10">
        <f t="shared" si="74"/>
        <v>1.0557630808094587</v>
      </c>
      <c r="AC101" s="1">
        <f t="shared" si="75"/>
        <v>0.81251676034550901</v>
      </c>
      <c r="AD101" s="1">
        <f t="shared" si="76"/>
        <v>46</v>
      </c>
      <c r="AE101" s="69">
        <f t="shared" si="77"/>
        <v>33.226869086414013</v>
      </c>
      <c r="AF101" s="71" t="str">
        <f t="shared" si="78"/>
        <v>СЗ</v>
      </c>
      <c r="AG101" s="1">
        <f t="shared" si="79"/>
        <v>5.4706685468340774</v>
      </c>
      <c r="AH101" s="72">
        <f t="shared" si="80"/>
        <v>313</v>
      </c>
      <c r="AI101" s="73">
        <f t="shared" si="81"/>
        <v>26.773130913587693</v>
      </c>
      <c r="AJ101" s="1">
        <f>((1+COS(2*(AH101)))/2)*Y101</f>
        <v>8.6583912490669466</v>
      </c>
      <c r="AK101" s="111"/>
      <c r="AL101" s="113"/>
    </row>
    <row r="102" spans="1:38" x14ac:dyDescent="0.3">
      <c r="A102" s="16">
        <v>93</v>
      </c>
      <c r="B102" s="12">
        <v>24497.876</v>
      </c>
      <c r="C102" s="35">
        <v>13245.099</v>
      </c>
      <c r="D102" s="99"/>
      <c r="E102" s="101"/>
      <c r="F102" s="103"/>
      <c r="G102" s="116"/>
      <c r="H102" s="40" t="s">
        <v>134</v>
      </c>
      <c r="I102" s="45">
        <v>1.915</v>
      </c>
      <c r="J102" s="119"/>
      <c r="K102" s="121"/>
      <c r="L102" s="113"/>
      <c r="M102" s="56"/>
      <c r="N102" s="56"/>
      <c r="O102" s="56"/>
      <c r="P102" s="56"/>
      <c r="Q102" s="56"/>
      <c r="R102" s="56"/>
      <c r="S102" s="119"/>
      <c r="T102" s="119"/>
      <c r="U102" s="119"/>
      <c r="V102" s="119"/>
      <c r="W102" s="107"/>
      <c r="X102" s="110">
        <f t="shared" ref="X102" si="108">SQRT((B102-B103)^2+(C102-C103)^2)</f>
        <v>17.183081824864782</v>
      </c>
      <c r="Y102" s="109"/>
      <c r="Z102" s="68">
        <f t="shared" si="73"/>
        <v>2.1739999999990687</v>
      </c>
      <c r="AA102" s="1">
        <f t="shared" si="73"/>
        <v>-17.045000000000073</v>
      </c>
      <c r="AB102" s="10">
        <f t="shared" si="74"/>
        <v>7.8403863845480108</v>
      </c>
      <c r="AC102" s="1">
        <f t="shared" si="75"/>
        <v>1.4439365372209236</v>
      </c>
      <c r="AD102" s="1">
        <f t="shared" si="76"/>
        <v>82</v>
      </c>
      <c r="AE102" s="69">
        <f t="shared" si="77"/>
        <v>43.888168049617491</v>
      </c>
      <c r="AF102" s="71" t="str">
        <f t="shared" si="78"/>
        <v>СЗ</v>
      </c>
      <c r="AG102" s="1">
        <f t="shared" si="79"/>
        <v>4.8392487699586626</v>
      </c>
      <c r="AH102" s="72">
        <f t="shared" si="80"/>
        <v>277</v>
      </c>
      <c r="AI102" s="73">
        <f t="shared" si="81"/>
        <v>16.111831950381656</v>
      </c>
      <c r="AJ102" s="1">
        <f>((1+COS(2*(AH102)))/2)*X102</f>
        <v>12.643304141115394</v>
      </c>
      <c r="AK102" s="111"/>
      <c r="AL102" s="113"/>
    </row>
    <row r="103" spans="1:38" x14ac:dyDescent="0.3">
      <c r="A103" s="16">
        <v>94</v>
      </c>
      <c r="B103" s="12">
        <v>24500.05</v>
      </c>
      <c r="C103" s="35">
        <v>13228.054</v>
      </c>
      <c r="D103" s="99"/>
      <c r="E103" s="101"/>
      <c r="F103" s="103"/>
      <c r="G103" s="116"/>
      <c r="H103" s="40" t="s">
        <v>135</v>
      </c>
      <c r="I103" s="45">
        <v>18.96</v>
      </c>
      <c r="J103" s="119"/>
      <c r="K103" s="121"/>
      <c r="L103" s="113"/>
      <c r="M103" s="56"/>
      <c r="N103" s="56"/>
      <c r="O103" s="56"/>
      <c r="P103" s="56"/>
      <c r="Q103" s="56"/>
      <c r="R103" s="56"/>
      <c r="S103" s="119"/>
      <c r="T103" s="119"/>
      <c r="U103" s="119"/>
      <c r="V103" s="119"/>
      <c r="W103" s="107"/>
      <c r="X103" s="105"/>
      <c r="Y103" s="109">
        <f t="shared" ref="Y103" si="109">SQRT((B103-B104)^2+(C103-C104)^2)</f>
        <v>19.036134297698695</v>
      </c>
      <c r="Z103" s="68">
        <f t="shared" si="73"/>
        <v>-11.072000000000116</v>
      </c>
      <c r="AA103" s="1">
        <f t="shared" si="73"/>
        <v>-15.485000000000582</v>
      </c>
      <c r="AB103" s="10">
        <f t="shared" si="74"/>
        <v>1.3985729768786506</v>
      </c>
      <c r="AC103" s="1">
        <f t="shared" si="75"/>
        <v>0.95006441283204912</v>
      </c>
      <c r="AD103" s="1">
        <f t="shared" si="76"/>
        <v>54</v>
      </c>
      <c r="AE103" s="69">
        <f t="shared" si="77"/>
        <v>26.080867251066593</v>
      </c>
      <c r="AF103" s="71" t="str">
        <f t="shared" si="78"/>
        <v>ЮЗ</v>
      </c>
      <c r="AG103" s="1">
        <f t="shared" si="79"/>
        <v>4.0916570664218419</v>
      </c>
      <c r="AH103" s="72">
        <f t="shared" si="80"/>
        <v>234</v>
      </c>
      <c r="AI103" s="73">
        <f t="shared" si="81"/>
        <v>26.080867251064888</v>
      </c>
      <c r="AJ103" s="1">
        <f>((1+COS(2*(AH103)))/2)*Y103</f>
        <v>4.5024595587543334E-2</v>
      </c>
      <c r="AK103" s="111"/>
      <c r="AL103" s="113"/>
    </row>
    <row r="104" spans="1:38" x14ac:dyDescent="0.3">
      <c r="A104" s="16">
        <v>95</v>
      </c>
      <c r="B104" s="12">
        <v>24488.977999999999</v>
      </c>
      <c r="C104" s="35">
        <v>13212.569</v>
      </c>
      <c r="D104" s="99"/>
      <c r="E104" s="101"/>
      <c r="F104" s="103"/>
      <c r="G104" s="116"/>
      <c r="H104" s="40" t="s">
        <v>136</v>
      </c>
      <c r="I104" s="45">
        <v>34.445</v>
      </c>
      <c r="J104" s="119"/>
      <c r="K104" s="121"/>
      <c r="L104" s="113"/>
      <c r="M104" s="56"/>
      <c r="N104" s="56"/>
      <c r="O104" s="56"/>
      <c r="P104" s="56"/>
      <c r="Q104" s="56"/>
      <c r="R104" s="56"/>
      <c r="S104" s="119"/>
      <c r="T104" s="119"/>
      <c r="U104" s="119"/>
      <c r="V104" s="119"/>
      <c r="W104" s="107"/>
      <c r="X104" s="110">
        <f t="shared" ref="X104" si="110">SQRT((B104-B105)^2+(C104-C105)^2)</f>
        <v>26.153600612534646</v>
      </c>
      <c r="Y104" s="109"/>
      <c r="Z104" s="68">
        <f t="shared" si="73"/>
        <v>-19.370999999999185</v>
      </c>
      <c r="AA104" s="1">
        <f t="shared" si="73"/>
        <v>-17.572000000000116</v>
      </c>
      <c r="AB104" s="10">
        <f t="shared" si="74"/>
        <v>0.90712921377321021</v>
      </c>
      <c r="AC104" s="1">
        <f t="shared" si="75"/>
        <v>0.7367399604192203</v>
      </c>
      <c r="AD104" s="1">
        <f t="shared" si="76"/>
        <v>42</v>
      </c>
      <c r="AE104" s="69">
        <f t="shared" si="77"/>
        <v>12.725419839398597</v>
      </c>
      <c r="AF104" s="71" t="str">
        <f t="shared" si="78"/>
        <v>ЮЗ</v>
      </c>
      <c r="AG104" s="1">
        <f t="shared" si="79"/>
        <v>3.8783326140090133</v>
      </c>
      <c r="AH104" s="72">
        <f t="shared" si="80"/>
        <v>222</v>
      </c>
      <c r="AI104" s="73">
        <f t="shared" si="81"/>
        <v>12.725419839399024</v>
      </c>
      <c r="AJ104" s="1">
        <f>((1+COS(2*(AH104)))/2)*X104</f>
        <v>6.4056560039666222</v>
      </c>
      <c r="AK104" s="111"/>
      <c r="AL104" s="113"/>
    </row>
    <row r="105" spans="1:38" x14ac:dyDescent="0.3">
      <c r="A105" s="16">
        <v>96</v>
      </c>
      <c r="B105" s="12">
        <v>24469.607</v>
      </c>
      <c r="C105" s="35">
        <v>13194.996999999999</v>
      </c>
      <c r="D105" s="99"/>
      <c r="E105" s="101"/>
      <c r="F105" s="103"/>
      <c r="G105" s="116"/>
      <c r="H105" s="40" t="s">
        <v>137</v>
      </c>
      <c r="I105" s="45">
        <v>52.017000000000003</v>
      </c>
      <c r="J105" s="119"/>
      <c r="K105" s="121"/>
      <c r="L105" s="113"/>
      <c r="M105" s="56"/>
      <c r="N105" s="56"/>
      <c r="O105" s="56"/>
      <c r="P105" s="56"/>
      <c r="Q105" s="56"/>
      <c r="R105" s="56"/>
      <c r="S105" s="119"/>
      <c r="T105" s="119"/>
      <c r="U105" s="119"/>
      <c r="V105" s="119"/>
      <c r="W105" s="107"/>
      <c r="X105" s="105"/>
      <c r="Y105" s="109">
        <f t="shared" ref="Y105" si="111">SQRT((B105-B106)^2+(C105-C106)^2)</f>
        <v>63.064725623758846</v>
      </c>
      <c r="Z105" s="68">
        <f t="shared" si="73"/>
        <v>-45.67699999999968</v>
      </c>
      <c r="AA105" s="1">
        <f t="shared" si="73"/>
        <v>43.483000000000175</v>
      </c>
      <c r="AB105" s="10">
        <f t="shared" si="74"/>
        <v>0.95196707314404361</v>
      </c>
      <c r="AC105" s="1">
        <f t="shared" si="75"/>
        <v>0.76079568112809492</v>
      </c>
      <c r="AD105" s="1">
        <f t="shared" si="76"/>
        <v>43</v>
      </c>
      <c r="AE105" s="69">
        <f t="shared" si="77"/>
        <v>35.42289602523681</v>
      </c>
      <c r="AF105" s="71" t="str">
        <f t="shared" si="78"/>
        <v>ЮВ</v>
      </c>
      <c r="AG105" s="1">
        <f t="shared" si="79"/>
        <v>2.380796972461698</v>
      </c>
      <c r="AH105" s="72">
        <f t="shared" si="80"/>
        <v>136</v>
      </c>
      <c r="AI105" s="73">
        <f t="shared" si="81"/>
        <v>24.57710397476319</v>
      </c>
      <c r="AJ105" s="1">
        <f>((1+COS(2*(AH105)))/2)*Y105</f>
        <v>23.662852827010529</v>
      </c>
      <c r="AK105" s="111"/>
      <c r="AL105" s="113"/>
    </row>
    <row r="106" spans="1:38" x14ac:dyDescent="0.3">
      <c r="A106" s="16">
        <v>97</v>
      </c>
      <c r="B106" s="12">
        <v>24423.93</v>
      </c>
      <c r="C106" s="35">
        <v>13238.48</v>
      </c>
      <c r="D106" s="99"/>
      <c r="E106" s="101"/>
      <c r="F106" s="103"/>
      <c r="G106" s="116"/>
      <c r="H106" s="40" t="s">
        <v>138</v>
      </c>
      <c r="I106" s="45">
        <v>8.5340000000000007</v>
      </c>
      <c r="J106" s="119"/>
      <c r="K106" s="121"/>
      <c r="L106" s="113"/>
      <c r="M106" s="56"/>
      <c r="N106" s="56"/>
      <c r="O106" s="56"/>
      <c r="P106" s="56"/>
      <c r="Q106" s="56"/>
      <c r="R106" s="56"/>
      <c r="S106" s="119"/>
      <c r="T106" s="119"/>
      <c r="U106" s="119"/>
      <c r="V106" s="119"/>
      <c r="W106" s="107"/>
      <c r="X106" s="110">
        <f t="shared" ref="X106" si="112">SQRT((B106-B107)^2+(C106-C107)^2)</f>
        <v>41.98427759292808</v>
      </c>
      <c r="Y106" s="109"/>
      <c r="Z106" s="68">
        <f t="shared" si="73"/>
        <v>-28.701000000000931</v>
      </c>
      <c r="AA106" s="1">
        <f t="shared" si="73"/>
        <v>30.641999999999825</v>
      </c>
      <c r="AB106" s="10">
        <f t="shared" si="74"/>
        <v>1.0676283056339093</v>
      </c>
      <c r="AC106" s="1">
        <f t="shared" si="75"/>
        <v>0.81809466118574825</v>
      </c>
      <c r="AD106" s="1">
        <f t="shared" si="76"/>
        <v>46</v>
      </c>
      <c r="AE106" s="69">
        <f t="shared" si="77"/>
        <v>52.40227968770526</v>
      </c>
      <c r="AF106" s="71" t="str">
        <f t="shared" si="78"/>
        <v>ЮВ</v>
      </c>
      <c r="AG106" s="1">
        <f t="shared" si="79"/>
        <v>2.3234979924040449</v>
      </c>
      <c r="AH106" s="72">
        <f t="shared" si="80"/>
        <v>133</v>
      </c>
      <c r="AI106" s="73">
        <f t="shared" si="81"/>
        <v>7.5977203122943138</v>
      </c>
      <c r="AJ106" s="1">
        <f>((1+COS(2*(AH106)))/2)*X106</f>
        <v>10.2818872159982</v>
      </c>
      <c r="AK106" s="111"/>
      <c r="AL106" s="113"/>
    </row>
    <row r="107" spans="1:38" x14ac:dyDescent="0.3">
      <c r="A107" s="16">
        <v>98</v>
      </c>
      <c r="B107" s="12">
        <v>24395.228999999999</v>
      </c>
      <c r="C107" s="35">
        <v>13269.121999999999</v>
      </c>
      <c r="D107" s="99"/>
      <c r="E107" s="101"/>
      <c r="F107" s="103"/>
      <c r="G107" s="116"/>
      <c r="H107" s="40" t="s">
        <v>139</v>
      </c>
      <c r="I107" s="45">
        <v>22.108000000000001</v>
      </c>
      <c r="J107" s="119"/>
      <c r="K107" s="121"/>
      <c r="L107" s="113"/>
      <c r="M107" s="56"/>
      <c r="N107" s="56"/>
      <c r="O107" s="56"/>
      <c r="P107" s="56"/>
      <c r="Q107" s="56"/>
      <c r="R107" s="56"/>
      <c r="S107" s="119"/>
      <c r="T107" s="119"/>
      <c r="U107" s="119"/>
      <c r="V107" s="119"/>
      <c r="W107" s="107"/>
      <c r="X107" s="105"/>
      <c r="Y107" s="109">
        <f t="shared" ref="Y107" si="113">SQRT((B107-B108)^2+(C107-C108)^2)</f>
        <v>24.182702992014335</v>
      </c>
      <c r="Z107" s="68">
        <f t="shared" si="73"/>
        <v>-2.3319999999985157</v>
      </c>
      <c r="AA107" s="1">
        <f t="shared" si="73"/>
        <v>24.069999999999709</v>
      </c>
      <c r="AB107" s="10">
        <f t="shared" si="74"/>
        <v>10.321612349920681</v>
      </c>
      <c r="AC107" s="1">
        <f t="shared" si="75"/>
        <v>1.4742136778718185</v>
      </c>
      <c r="AD107" s="1">
        <f t="shared" si="76"/>
        <v>84</v>
      </c>
      <c r="AE107" s="69">
        <f t="shared" si="77"/>
        <v>27.97331055083248</v>
      </c>
      <c r="AF107" s="71" t="str">
        <f t="shared" si="78"/>
        <v>ЮВ</v>
      </c>
      <c r="AG107" s="1">
        <f t="shared" si="79"/>
        <v>1.6673789757179747</v>
      </c>
      <c r="AH107" s="72">
        <f t="shared" si="80"/>
        <v>95</v>
      </c>
      <c r="AI107" s="73">
        <f t="shared" si="81"/>
        <v>32.02668944916752</v>
      </c>
      <c r="AJ107" s="1">
        <f>((1+COS(2*(AH107)))/2)*Y107</f>
        <v>12.893091026933666</v>
      </c>
      <c r="AK107" s="111"/>
      <c r="AL107" s="113"/>
    </row>
    <row r="108" spans="1:38" x14ac:dyDescent="0.3">
      <c r="A108" s="16">
        <v>99</v>
      </c>
      <c r="B108" s="12">
        <v>24392.897000000001</v>
      </c>
      <c r="C108" s="35">
        <v>13293.191999999999</v>
      </c>
      <c r="D108" s="99"/>
      <c r="E108" s="101"/>
      <c r="F108" s="103"/>
      <c r="G108" s="116"/>
      <c r="H108" s="40" t="s">
        <v>140</v>
      </c>
      <c r="I108" s="45">
        <v>46.177999999999997</v>
      </c>
      <c r="J108" s="119"/>
      <c r="K108" s="121"/>
      <c r="L108" s="113"/>
      <c r="M108" s="56"/>
      <c r="N108" s="56"/>
      <c r="O108" s="56"/>
      <c r="P108" s="56"/>
      <c r="Q108" s="56"/>
      <c r="R108" s="56"/>
      <c r="S108" s="119"/>
      <c r="T108" s="119"/>
      <c r="U108" s="119"/>
      <c r="V108" s="119"/>
      <c r="W108" s="107"/>
      <c r="X108" s="110">
        <f t="shared" ref="X108" si="114">SQRT((B108-B109)^2+(C108-C109)^2)</f>
        <v>38.667047495250614</v>
      </c>
      <c r="Y108" s="109"/>
      <c r="Z108" s="68">
        <f t="shared" si="73"/>
        <v>31.118999999998778</v>
      </c>
      <c r="AA108" s="1">
        <f t="shared" si="73"/>
        <v>22.951000000000931</v>
      </c>
      <c r="AB108" s="10">
        <f t="shared" si="74"/>
        <v>0.73752369934772433</v>
      </c>
      <c r="AC108" s="1">
        <f t="shared" si="75"/>
        <v>0.63546834290075127</v>
      </c>
      <c r="AD108" s="1">
        <f t="shared" si="76"/>
        <v>36</v>
      </c>
      <c r="AE108" s="69">
        <f t="shared" si="77"/>
        <v>24.579243743114176</v>
      </c>
      <c r="AF108" s="71" t="str">
        <f t="shared" si="78"/>
        <v>СВ</v>
      </c>
      <c r="AG108" s="1">
        <f t="shared" si="79"/>
        <v>0.63546834290075127</v>
      </c>
      <c r="AH108" s="72">
        <f t="shared" si="80"/>
        <v>36</v>
      </c>
      <c r="AI108" s="73">
        <f t="shared" si="81"/>
        <v>24.579243743114176</v>
      </c>
      <c r="AJ108" s="1">
        <f>((1+COS(2*(AH108)))/2)*X108</f>
        <v>0.63316152932765257</v>
      </c>
      <c r="AK108" s="111"/>
      <c r="AL108" s="113"/>
    </row>
    <row r="109" spans="1:38" ht="15" thickBot="1" x14ac:dyDescent="0.35">
      <c r="A109" s="16">
        <v>100</v>
      </c>
      <c r="B109" s="12">
        <v>24424.016</v>
      </c>
      <c r="C109" s="35">
        <v>13316.143</v>
      </c>
      <c r="D109" s="99"/>
      <c r="E109" s="101"/>
      <c r="F109" s="103"/>
      <c r="G109" s="116"/>
      <c r="H109" s="40" t="s">
        <v>141</v>
      </c>
      <c r="I109" s="45">
        <v>69.129000000000005</v>
      </c>
      <c r="J109" s="119"/>
      <c r="K109" s="121"/>
      <c r="L109" s="113"/>
      <c r="M109" s="56"/>
      <c r="N109" s="56"/>
      <c r="O109" s="56"/>
      <c r="P109" s="56"/>
      <c r="Q109" s="56"/>
      <c r="R109" s="56"/>
      <c r="S109" s="123"/>
      <c r="T109" s="123"/>
      <c r="U109" s="123"/>
      <c r="V109" s="119"/>
      <c r="W109" s="107"/>
      <c r="X109" s="105"/>
      <c r="Y109" s="109">
        <f t="shared" ref="Y109" si="115">SQRT((B109-B110)^2+(C109-C110)^2)</f>
        <v>35.326762730258892</v>
      </c>
      <c r="Z109" s="68">
        <f t="shared" si="73"/>
        <v>28.842000000000553</v>
      </c>
      <c r="AA109" s="1">
        <f t="shared" si="73"/>
        <v>-20.398999999999432</v>
      </c>
      <c r="AB109" s="10">
        <f t="shared" si="74"/>
        <v>0.70726717980719234</v>
      </c>
      <c r="AC109" s="1">
        <f t="shared" si="75"/>
        <v>0.61558663299891281</v>
      </c>
      <c r="AD109" s="1">
        <f t="shared" si="76"/>
        <v>35</v>
      </c>
      <c r="AE109" s="69">
        <f t="shared" si="77"/>
        <v>16.230959730386161</v>
      </c>
      <c r="AF109" s="71" t="str">
        <f t="shared" si="78"/>
        <v>СЗ</v>
      </c>
      <c r="AG109" s="1">
        <f t="shared" si="79"/>
        <v>5.6675986741806739</v>
      </c>
      <c r="AH109" s="72">
        <f t="shared" si="80"/>
        <v>324</v>
      </c>
      <c r="AI109" s="73">
        <f t="shared" si="81"/>
        <v>43.769040269615971</v>
      </c>
      <c r="AJ109" s="1">
        <f>((1+COS(2*(AH109)))/2)*Y109</f>
        <v>29.559008048465554</v>
      </c>
      <c r="AK109" s="111"/>
      <c r="AL109" s="113"/>
    </row>
    <row r="110" spans="1:38" x14ac:dyDescent="0.3">
      <c r="A110" s="16">
        <v>101</v>
      </c>
      <c r="B110" s="12">
        <v>24452.858</v>
      </c>
      <c r="C110" s="35">
        <v>13295.744000000001</v>
      </c>
      <c r="D110" s="99"/>
      <c r="E110" s="101"/>
      <c r="F110" s="103"/>
      <c r="G110" s="116"/>
      <c r="H110" s="40" t="s">
        <v>142</v>
      </c>
      <c r="I110" s="45">
        <v>48.73</v>
      </c>
      <c r="J110" s="119"/>
      <c r="K110" s="121"/>
      <c r="L110" s="113"/>
      <c r="M110" s="56"/>
      <c r="N110" s="56"/>
      <c r="O110" s="56"/>
      <c r="P110" s="56"/>
      <c r="Q110" s="56"/>
      <c r="R110" s="56"/>
      <c r="S110" s="118">
        <v>109.438</v>
      </c>
      <c r="T110" s="118">
        <f>S110^2</f>
        <v>11976.675844000001</v>
      </c>
      <c r="U110" s="118">
        <f>G5*T110</f>
        <v>10779008.2596</v>
      </c>
      <c r="V110" s="119"/>
      <c r="W110" s="107"/>
      <c r="X110" s="110">
        <f t="shared" ref="X110" si="116">SQRT((B110-B111)^2+(C110-C111)^2)</f>
        <v>76.207940491788349</v>
      </c>
      <c r="Y110" s="109"/>
      <c r="Z110" s="68">
        <f t="shared" si="73"/>
        <v>48.764999999999418</v>
      </c>
      <c r="AA110" s="1">
        <f t="shared" si="73"/>
        <v>-58.563000000000102</v>
      </c>
      <c r="AB110" s="10">
        <f t="shared" si="74"/>
        <v>1.2009227929867898</v>
      </c>
      <c r="AC110" s="1">
        <f t="shared" si="75"/>
        <v>0.87643607286838776</v>
      </c>
      <c r="AD110" s="1">
        <f t="shared" si="76"/>
        <v>50</v>
      </c>
      <c r="AE110" s="69">
        <f t="shared" si="77"/>
        <v>12.965279302733705</v>
      </c>
      <c r="AF110" s="71" t="str">
        <f t="shared" si="78"/>
        <v>СЗ</v>
      </c>
      <c r="AG110" s="1">
        <f t="shared" si="79"/>
        <v>5.4067492343111985</v>
      </c>
      <c r="AH110" s="72">
        <f t="shared" si="80"/>
        <v>309</v>
      </c>
      <c r="AI110" s="73">
        <f t="shared" si="81"/>
        <v>47.034720697266721</v>
      </c>
      <c r="AJ110" s="1">
        <f>((1+COS(2*(AH110)))/2)*X110</f>
        <v>14.232159065472246</v>
      </c>
      <c r="AK110" s="111"/>
      <c r="AL110" s="113"/>
    </row>
    <row r="111" spans="1:38" x14ac:dyDescent="0.3">
      <c r="A111" s="16">
        <v>102</v>
      </c>
      <c r="B111" s="12">
        <v>24501.623</v>
      </c>
      <c r="C111" s="35">
        <v>13237.181</v>
      </c>
      <c r="D111" s="99"/>
      <c r="E111" s="101"/>
      <c r="F111" s="103"/>
      <c r="G111" s="116"/>
      <c r="H111" s="40" t="s">
        <v>143</v>
      </c>
      <c r="I111" s="45">
        <v>9.8740000000000006</v>
      </c>
      <c r="J111" s="119"/>
      <c r="K111" s="121"/>
      <c r="L111" s="113"/>
      <c r="M111" s="56"/>
      <c r="N111" s="56"/>
      <c r="O111" s="56"/>
      <c r="P111" s="56"/>
      <c r="Q111" s="56"/>
      <c r="R111" s="56"/>
      <c r="S111" s="119"/>
      <c r="T111" s="119"/>
      <c r="U111" s="119"/>
      <c r="V111" s="119"/>
      <c r="W111" s="107"/>
      <c r="X111" s="105"/>
      <c r="Y111" s="109">
        <f t="shared" ref="Y111" si="117">SQRT((B111-B112)^2+(C111-C112)^2)</f>
        <v>19.111402669611142</v>
      </c>
      <c r="Z111" s="68">
        <f t="shared" si="73"/>
        <v>-5.7560000000012224</v>
      </c>
      <c r="AA111" s="1">
        <f t="shared" si="73"/>
        <v>-18.22400000000016</v>
      </c>
      <c r="AB111" s="10">
        <f t="shared" si="74"/>
        <v>3.1660875608054706</v>
      </c>
      <c r="AC111" s="1">
        <f t="shared" si="75"/>
        <v>1.2648649332782251</v>
      </c>
      <c r="AD111" s="1">
        <f t="shared" si="76"/>
        <v>72</v>
      </c>
      <c r="AE111" s="69">
        <f t="shared" si="77"/>
        <v>28.285339856325891</v>
      </c>
      <c r="AF111" s="71" t="str">
        <f t="shared" si="78"/>
        <v>ЮЗ</v>
      </c>
      <c r="AG111" s="1">
        <f t="shared" si="79"/>
        <v>4.4064575868680187</v>
      </c>
      <c r="AH111" s="72">
        <f t="shared" si="80"/>
        <v>252</v>
      </c>
      <c r="AI111" s="73">
        <f t="shared" si="81"/>
        <v>28.285339856327596</v>
      </c>
      <c r="AJ111" s="1">
        <f>((1+COS(2*(AH111)))/2)*Y111</f>
        <v>11.69342228172583</v>
      </c>
      <c r="AK111" s="111"/>
      <c r="AL111" s="113"/>
    </row>
    <row r="112" spans="1:38" x14ac:dyDescent="0.3">
      <c r="A112" s="16">
        <v>103</v>
      </c>
      <c r="B112" s="12">
        <v>24495.866999999998</v>
      </c>
      <c r="C112" s="35">
        <v>13218.957</v>
      </c>
      <c r="D112" s="99"/>
      <c r="E112" s="101"/>
      <c r="F112" s="103"/>
      <c r="G112" s="116"/>
      <c r="H112" s="40" t="s">
        <v>144</v>
      </c>
      <c r="I112" s="45">
        <v>28.056999999999999</v>
      </c>
      <c r="J112" s="119"/>
      <c r="K112" s="121"/>
      <c r="L112" s="113"/>
      <c r="M112" s="56"/>
      <c r="N112" s="56"/>
      <c r="O112" s="56"/>
      <c r="P112" s="56"/>
      <c r="Q112" s="56"/>
      <c r="R112" s="56"/>
      <c r="S112" s="119"/>
      <c r="T112" s="119"/>
      <c r="U112" s="119"/>
      <c r="V112" s="119"/>
      <c r="W112" s="107"/>
      <c r="X112" s="110">
        <f t="shared" ref="X112" si="118">SQRT((B112-B113)^2+(C112-C113)^2)</f>
        <v>37.580282236832311</v>
      </c>
      <c r="Y112" s="109"/>
      <c r="Z112" s="68">
        <f t="shared" si="73"/>
        <v>-27.602999999999156</v>
      </c>
      <c r="AA112" s="1">
        <f t="shared" si="73"/>
        <v>-25.502000000000407</v>
      </c>
      <c r="AB112" s="10">
        <f t="shared" si="74"/>
        <v>0.92388508495457689</v>
      </c>
      <c r="AC112" s="1">
        <f t="shared" si="75"/>
        <v>0.74585565633174045</v>
      </c>
      <c r="AD112" s="1">
        <f t="shared" si="76"/>
        <v>42</v>
      </c>
      <c r="AE112" s="69">
        <f t="shared" si="77"/>
        <v>44.062874026122074</v>
      </c>
      <c r="AF112" s="71" t="str">
        <f t="shared" si="78"/>
        <v>ЮЗ</v>
      </c>
      <c r="AG112" s="1">
        <f t="shared" si="79"/>
        <v>3.8874483099215338</v>
      </c>
      <c r="AH112" s="72">
        <f t="shared" si="80"/>
        <v>222</v>
      </c>
      <c r="AI112" s="73">
        <f t="shared" si="81"/>
        <v>44.062874026122927</v>
      </c>
      <c r="AJ112" s="1">
        <f>((1+COS(2*(AH112)))/2)*X112</f>
        <v>9.2043296105757637</v>
      </c>
      <c r="AK112" s="111"/>
      <c r="AL112" s="113"/>
    </row>
    <row r="113" spans="1:38" x14ac:dyDescent="0.3">
      <c r="A113" s="16">
        <v>104</v>
      </c>
      <c r="B113" s="12">
        <v>24468.263999999999</v>
      </c>
      <c r="C113" s="35">
        <v>13193.455</v>
      </c>
      <c r="D113" s="99"/>
      <c r="E113" s="101"/>
      <c r="F113" s="103"/>
      <c r="G113" s="116"/>
      <c r="H113" s="40" t="s">
        <v>145</v>
      </c>
      <c r="I113" s="45">
        <v>53.558999999999997</v>
      </c>
      <c r="J113" s="119"/>
      <c r="K113" s="121"/>
      <c r="L113" s="113"/>
      <c r="M113" s="56"/>
      <c r="N113" s="56"/>
      <c r="O113" s="56"/>
      <c r="P113" s="56"/>
      <c r="Q113" s="56"/>
      <c r="R113" s="56"/>
      <c r="S113" s="119"/>
      <c r="T113" s="119"/>
      <c r="U113" s="119"/>
      <c r="V113" s="119"/>
      <c r="W113" s="107"/>
      <c r="X113" s="105"/>
      <c r="Y113" s="109">
        <f t="shared" ref="Y113" si="119">SQRT((B113-B114)^2+(C113-C114)^2)</f>
        <v>58.841112710417555</v>
      </c>
      <c r="Z113" s="68">
        <f t="shared" si="73"/>
        <v>-42.056000000000495</v>
      </c>
      <c r="AA113" s="1">
        <f t="shared" si="73"/>
        <v>41.153000000000247</v>
      </c>
      <c r="AB113" s="10">
        <f t="shared" si="74"/>
        <v>0.97852862849533395</v>
      </c>
      <c r="AC113" s="1">
        <f t="shared" si="75"/>
        <v>0.7745463979187508</v>
      </c>
      <c r="AD113" s="1">
        <f t="shared" si="76"/>
        <v>44</v>
      </c>
      <c r="AE113" s="69">
        <f t="shared" si="77"/>
        <v>22.694378268292041</v>
      </c>
      <c r="AF113" s="71" t="str">
        <f t="shared" si="78"/>
        <v>ЮВ</v>
      </c>
      <c r="AG113" s="1">
        <f t="shared" si="79"/>
        <v>2.3670462556710423</v>
      </c>
      <c r="AH113" s="72">
        <f t="shared" si="80"/>
        <v>135</v>
      </c>
      <c r="AI113" s="73">
        <f t="shared" si="81"/>
        <v>37.305621731707106</v>
      </c>
      <c r="AJ113" s="1">
        <f>((1+COS(2*(AH113)))/2)*Y113</f>
        <v>58.381621008842735</v>
      </c>
      <c r="AK113" s="111"/>
      <c r="AL113" s="113"/>
    </row>
    <row r="114" spans="1:38" x14ac:dyDescent="0.3">
      <c r="A114" s="16">
        <v>105</v>
      </c>
      <c r="B114" s="12">
        <v>24426.207999999999</v>
      </c>
      <c r="C114" s="35">
        <v>13234.608</v>
      </c>
      <c r="D114" s="99"/>
      <c r="E114" s="101"/>
      <c r="F114" s="103"/>
      <c r="G114" s="116"/>
      <c r="H114" s="40" t="s">
        <v>146</v>
      </c>
      <c r="I114" s="45">
        <v>12.404999999999999</v>
      </c>
      <c r="J114" s="119"/>
      <c r="K114" s="121"/>
      <c r="L114" s="113"/>
      <c r="M114" s="56"/>
      <c r="N114" s="56"/>
      <c r="O114" s="56"/>
      <c r="P114" s="56"/>
      <c r="Q114" s="56"/>
      <c r="R114" s="56"/>
      <c r="S114" s="119"/>
      <c r="T114" s="119"/>
      <c r="U114" s="119"/>
      <c r="V114" s="119"/>
      <c r="W114" s="107"/>
      <c r="X114" s="110">
        <f t="shared" ref="X114" si="120">SQRT((B114-B115)^2+(C114-C115)^2)</f>
        <v>51.81408326893429</v>
      </c>
      <c r="Y114" s="109"/>
      <c r="Z114" s="68">
        <f t="shared" si="73"/>
        <v>-35.036000000000058</v>
      </c>
      <c r="AA114" s="1">
        <f t="shared" si="73"/>
        <v>38.173000000000684</v>
      </c>
      <c r="AB114" s="10">
        <f t="shared" si="74"/>
        <v>1.0895364767667719</v>
      </c>
      <c r="AC114" s="1">
        <f t="shared" si="75"/>
        <v>0.82822188926748475</v>
      </c>
      <c r="AD114" s="1">
        <f t="shared" si="76"/>
        <v>47</v>
      </c>
      <c r="AE114" s="69">
        <f t="shared" si="77"/>
        <v>27.2171253226972</v>
      </c>
      <c r="AF114" s="71" t="str">
        <f t="shared" si="78"/>
        <v>ЮВ</v>
      </c>
      <c r="AG114" s="1">
        <f t="shared" si="79"/>
        <v>2.3133707643223085</v>
      </c>
      <c r="AH114" s="72">
        <f t="shared" si="80"/>
        <v>132</v>
      </c>
      <c r="AI114" s="73">
        <f t="shared" si="81"/>
        <v>32.782874677303653</v>
      </c>
      <c r="AJ114" s="1">
        <f>((1+COS(2*(AH114)))/2)*X114</f>
        <v>51.668078061933969</v>
      </c>
      <c r="AK114" s="111"/>
      <c r="AL114" s="113"/>
    </row>
    <row r="115" spans="1:38" x14ac:dyDescent="0.3">
      <c r="A115" s="16">
        <v>106</v>
      </c>
      <c r="B115" s="12">
        <v>24391.171999999999</v>
      </c>
      <c r="C115" s="35">
        <v>13272.781000000001</v>
      </c>
      <c r="D115" s="99"/>
      <c r="E115" s="101"/>
      <c r="F115" s="103"/>
      <c r="G115" s="116"/>
      <c r="H115" s="40" t="s">
        <v>147</v>
      </c>
      <c r="I115" s="45">
        <v>25.766999999999999</v>
      </c>
      <c r="J115" s="119"/>
      <c r="K115" s="121"/>
      <c r="L115" s="113"/>
      <c r="M115" s="56"/>
      <c r="N115" s="56"/>
      <c r="O115" s="56"/>
      <c r="P115" s="56"/>
      <c r="Q115" s="56"/>
      <c r="R115" s="56"/>
      <c r="S115" s="119"/>
      <c r="T115" s="119"/>
      <c r="U115" s="119"/>
      <c r="V115" s="119"/>
      <c r="W115" s="107"/>
      <c r="X115" s="105"/>
      <c r="Y115" s="109">
        <f t="shared" ref="Y115" si="121">SQRT((B115-B116)^2+(C115-C116)^2)</f>
        <v>25.717936017494672</v>
      </c>
      <c r="Z115" s="68">
        <f t="shared" si="73"/>
        <v>4.3230000000003201</v>
      </c>
      <c r="AA115" s="1">
        <f t="shared" si="73"/>
        <v>25.351999999998952</v>
      </c>
      <c r="AB115" s="10">
        <f t="shared" si="74"/>
        <v>5.8644459865827141</v>
      </c>
      <c r="AC115" s="1">
        <f t="shared" si="75"/>
        <v>1.4019017021238407</v>
      </c>
      <c r="AD115" s="1">
        <f t="shared" si="76"/>
        <v>80</v>
      </c>
      <c r="AE115" s="69">
        <f t="shared" si="77"/>
        <v>19.383049434143516</v>
      </c>
      <c r="AF115" s="71" t="str">
        <f t="shared" si="78"/>
        <v>СВ</v>
      </c>
      <c r="AG115" s="1">
        <f t="shared" si="79"/>
        <v>1.4019017021238407</v>
      </c>
      <c r="AH115" s="72">
        <f t="shared" si="80"/>
        <v>80</v>
      </c>
      <c r="AI115" s="73">
        <f t="shared" si="81"/>
        <v>19.383049434143516</v>
      </c>
      <c r="AJ115" s="1">
        <f>((1+COS(2*(AH115)))/2)*Y115</f>
        <v>0.31338188711723097</v>
      </c>
      <c r="AK115" s="111"/>
      <c r="AL115" s="113"/>
    </row>
    <row r="116" spans="1:38" x14ac:dyDescent="0.3">
      <c r="A116" s="16">
        <v>107</v>
      </c>
      <c r="B116" s="12">
        <v>24395.494999999999</v>
      </c>
      <c r="C116" s="35">
        <v>13298.133</v>
      </c>
      <c r="D116" s="99"/>
      <c r="E116" s="101"/>
      <c r="F116" s="103"/>
      <c r="G116" s="116"/>
      <c r="H116" s="40" t="s">
        <v>148</v>
      </c>
      <c r="I116" s="45">
        <v>51.119</v>
      </c>
      <c r="J116" s="119"/>
      <c r="K116" s="121"/>
      <c r="L116" s="113"/>
      <c r="M116" s="56"/>
      <c r="N116" s="56"/>
      <c r="O116" s="56"/>
      <c r="P116" s="56"/>
      <c r="Q116" s="56"/>
      <c r="R116" s="56"/>
      <c r="S116" s="119"/>
      <c r="T116" s="119"/>
      <c r="U116" s="119"/>
      <c r="V116" s="119"/>
      <c r="W116" s="107"/>
      <c r="X116" s="110">
        <f t="shared" ref="X116" si="122">SQRT((B116-B117)^2+(C116-C117)^2)</f>
        <v>38.077604822258813</v>
      </c>
      <c r="Y116" s="109"/>
      <c r="Z116" s="68">
        <f t="shared" si="73"/>
        <v>33.670000000001892</v>
      </c>
      <c r="AA116" s="1">
        <f t="shared" si="73"/>
        <v>17.782999999999447</v>
      </c>
      <c r="AB116" s="10">
        <f t="shared" si="74"/>
        <v>0.52815562815558204</v>
      </c>
      <c r="AC116" s="1">
        <f t="shared" si="75"/>
        <v>0.48591757773170602</v>
      </c>
      <c r="AD116" s="1">
        <f t="shared" si="76"/>
        <v>27</v>
      </c>
      <c r="AE116" s="69">
        <f t="shared" si="77"/>
        <v>50.461583714812051</v>
      </c>
      <c r="AF116" s="71" t="str">
        <f t="shared" si="78"/>
        <v>СВ</v>
      </c>
      <c r="AG116" s="1">
        <f t="shared" si="79"/>
        <v>0.48591757773170602</v>
      </c>
      <c r="AH116" s="72">
        <f t="shared" si="80"/>
        <v>27</v>
      </c>
      <c r="AI116" s="73">
        <f t="shared" si="81"/>
        <v>50.461583714812051</v>
      </c>
      <c r="AJ116" s="1">
        <f>((1+COS(2*(AH116)))/2)*X116</f>
        <v>3.2497363656411378</v>
      </c>
      <c r="AK116" s="111"/>
      <c r="AL116" s="113"/>
    </row>
    <row r="117" spans="1:38" x14ac:dyDescent="0.3">
      <c r="A117" s="16">
        <v>108</v>
      </c>
      <c r="B117" s="12">
        <v>24429.165000000001</v>
      </c>
      <c r="C117" s="35">
        <v>13315.915999999999</v>
      </c>
      <c r="D117" s="99"/>
      <c r="E117" s="101"/>
      <c r="F117" s="103"/>
      <c r="G117" s="116"/>
      <c r="H117" s="40" t="s">
        <v>149</v>
      </c>
      <c r="I117" s="45">
        <v>68.902000000000001</v>
      </c>
      <c r="J117" s="119"/>
      <c r="K117" s="121"/>
      <c r="L117" s="113"/>
      <c r="M117" s="56"/>
      <c r="N117" s="56"/>
      <c r="O117" s="56"/>
      <c r="P117" s="56"/>
      <c r="Q117" s="56"/>
      <c r="R117" s="56"/>
      <c r="S117" s="119"/>
      <c r="T117" s="119"/>
      <c r="U117" s="119"/>
      <c r="V117" s="119"/>
      <c r="W117" s="107"/>
      <c r="X117" s="105"/>
      <c r="Y117" s="109">
        <f t="shared" ref="Y117" si="123">SQRT((B117-B118)^2+(C117-C118)^2)</f>
        <v>102.14844708070579</v>
      </c>
      <c r="Z117" s="68">
        <f t="shared" si="73"/>
        <v>70.724999999998545</v>
      </c>
      <c r="AA117" s="1">
        <f t="shared" si="73"/>
        <v>-73.703999999999724</v>
      </c>
      <c r="AB117" s="10">
        <f t="shared" si="74"/>
        <v>1.0421208907741426</v>
      </c>
      <c r="AC117" s="1">
        <f t="shared" si="75"/>
        <v>0.80602129069072048</v>
      </c>
      <c r="AD117" s="1">
        <f t="shared" si="76"/>
        <v>46</v>
      </c>
      <c r="AE117" s="69">
        <f t="shared" si="77"/>
        <v>10.897089255933423</v>
      </c>
      <c r="AF117" s="71" t="str">
        <f t="shared" si="78"/>
        <v>СЗ</v>
      </c>
      <c r="AG117" s="1">
        <f t="shared" si="79"/>
        <v>5.4771640164888655</v>
      </c>
      <c r="AH117" s="72">
        <f t="shared" si="80"/>
        <v>313</v>
      </c>
      <c r="AI117" s="73">
        <f t="shared" si="81"/>
        <v>49.102910744067003</v>
      </c>
      <c r="AJ117" s="1">
        <f>((1+COS(2*(AH117)))/2)*Y117</f>
        <v>16.344809215967313</v>
      </c>
      <c r="AK117" s="111"/>
      <c r="AL117" s="113"/>
    </row>
    <row r="118" spans="1:38" x14ac:dyDescent="0.3">
      <c r="A118" s="16">
        <v>109</v>
      </c>
      <c r="B118" s="12">
        <v>24499.89</v>
      </c>
      <c r="C118" s="35">
        <v>13242.212</v>
      </c>
      <c r="D118" s="99"/>
      <c r="E118" s="101"/>
      <c r="F118" s="103"/>
      <c r="G118" s="116"/>
      <c r="H118" s="40" t="s">
        <v>150</v>
      </c>
      <c r="I118" s="45">
        <v>4.8019999999999996</v>
      </c>
      <c r="J118" s="119"/>
      <c r="K118" s="121"/>
      <c r="L118" s="113"/>
      <c r="M118" s="56"/>
      <c r="N118" s="56"/>
      <c r="O118" s="56"/>
      <c r="P118" s="56"/>
      <c r="Q118" s="56"/>
      <c r="R118" s="56"/>
      <c r="S118" s="119"/>
      <c r="T118" s="119"/>
      <c r="U118" s="119"/>
      <c r="V118" s="119"/>
      <c r="W118" s="107"/>
      <c r="X118" s="110">
        <f t="shared" ref="X118" si="124">SQRT((B118-B119)^2+(C118-C119)^2)</f>
        <v>20.113325383934292</v>
      </c>
      <c r="Y118" s="109"/>
      <c r="Z118" s="68">
        <f t="shared" si="73"/>
        <v>-1.2730000000010477</v>
      </c>
      <c r="AA118" s="1">
        <f t="shared" si="73"/>
        <v>-20.07300000000032</v>
      </c>
      <c r="AB118" s="10">
        <f t="shared" si="74"/>
        <v>15.768263943427964</v>
      </c>
      <c r="AC118" s="1">
        <f t="shared" si="75"/>
        <v>1.507462620995651</v>
      </c>
      <c r="AD118" s="1">
        <f t="shared" si="76"/>
        <v>86</v>
      </c>
      <c r="AE118" s="69">
        <f t="shared" si="77"/>
        <v>22.274757406800063</v>
      </c>
      <c r="AF118" s="71" t="str">
        <f t="shared" si="78"/>
        <v>ЮЗ</v>
      </c>
      <c r="AG118" s="1">
        <f t="shared" si="79"/>
        <v>4.6490552745854439</v>
      </c>
      <c r="AH118" s="72">
        <f t="shared" si="80"/>
        <v>266</v>
      </c>
      <c r="AI118" s="73">
        <f t="shared" si="81"/>
        <v>22.274757406800063</v>
      </c>
      <c r="AJ118" s="1">
        <f>((1+COS(2*(AH118)))/2)*X118</f>
        <v>5.2356408300672062</v>
      </c>
      <c r="AK118" s="111"/>
      <c r="AL118" s="113"/>
    </row>
    <row r="119" spans="1:38" x14ac:dyDescent="0.3">
      <c r="A119" s="16">
        <v>110</v>
      </c>
      <c r="B119" s="12">
        <v>24498.616999999998</v>
      </c>
      <c r="C119" s="35">
        <v>13222.138999999999</v>
      </c>
      <c r="D119" s="99"/>
      <c r="E119" s="101"/>
      <c r="F119" s="103"/>
      <c r="G119" s="116"/>
      <c r="H119" s="40" t="s">
        <v>151</v>
      </c>
      <c r="I119" s="45">
        <v>24.875</v>
      </c>
      <c r="J119" s="119"/>
      <c r="K119" s="121"/>
      <c r="L119" s="113"/>
      <c r="M119" s="56"/>
      <c r="N119" s="56"/>
      <c r="O119" s="56"/>
      <c r="P119" s="56"/>
      <c r="Q119" s="56"/>
      <c r="R119" s="56"/>
      <c r="S119" s="119"/>
      <c r="T119" s="119"/>
      <c r="U119" s="119"/>
      <c r="V119" s="119"/>
      <c r="W119" s="107"/>
      <c r="X119" s="105"/>
      <c r="Y119" s="109">
        <f t="shared" ref="Y119" si="125">SQRT((B119-B120)^2+(C119-C120)^2)</f>
        <v>42.833366526574679</v>
      </c>
      <c r="Z119" s="68">
        <f t="shared" si="73"/>
        <v>-31.761999999998807</v>
      </c>
      <c r="AA119" s="1">
        <f t="shared" si="73"/>
        <v>-28.737999999999374</v>
      </c>
      <c r="AB119" s="10">
        <f t="shared" si="74"/>
        <v>0.90479188967950552</v>
      </c>
      <c r="AC119" s="1">
        <f t="shared" si="75"/>
        <v>0.73545625539545811</v>
      </c>
      <c r="AD119" s="1">
        <f t="shared" si="76"/>
        <v>42</v>
      </c>
      <c r="AE119" s="69">
        <f t="shared" si="77"/>
        <v>8.3123670393197813</v>
      </c>
      <c r="AF119" s="71" t="str">
        <f t="shared" si="78"/>
        <v>ЮЗ</v>
      </c>
      <c r="AG119" s="1">
        <f t="shared" si="79"/>
        <v>3.8770489089852513</v>
      </c>
      <c r="AH119" s="72">
        <f t="shared" si="80"/>
        <v>222</v>
      </c>
      <c r="AI119" s="73">
        <f t="shared" si="81"/>
        <v>8.3123670393206339</v>
      </c>
      <c r="AJ119" s="1">
        <f>((1+COS(2*(AH119)))/2)*Y119</f>
        <v>10.490938342522361</v>
      </c>
      <c r="AK119" s="111"/>
      <c r="AL119" s="113"/>
    </row>
    <row r="120" spans="1:38" x14ac:dyDescent="0.3">
      <c r="A120" s="16">
        <v>111</v>
      </c>
      <c r="B120" s="12">
        <v>24466.855</v>
      </c>
      <c r="C120" s="35">
        <v>13193.401</v>
      </c>
      <c r="D120" s="99"/>
      <c r="E120" s="101"/>
      <c r="F120" s="103"/>
      <c r="G120" s="116"/>
      <c r="H120" s="40" t="s">
        <v>152</v>
      </c>
      <c r="I120" s="45">
        <v>53.613</v>
      </c>
      <c r="J120" s="119"/>
      <c r="K120" s="121"/>
      <c r="L120" s="113"/>
      <c r="M120" s="56"/>
      <c r="N120" s="56"/>
      <c r="O120" s="56"/>
      <c r="P120" s="56"/>
      <c r="Q120" s="56"/>
      <c r="R120" s="56"/>
      <c r="S120" s="119"/>
      <c r="T120" s="119"/>
      <c r="U120" s="119"/>
      <c r="V120" s="119"/>
      <c r="W120" s="107"/>
      <c r="X120" s="110">
        <f t="shared" ref="X120" si="126">SQRT((B120-B121)^2+(C120-C121)^2)</f>
        <v>113.96581242197172</v>
      </c>
      <c r="Y120" s="109"/>
      <c r="Z120" s="68">
        <f t="shared" si="73"/>
        <v>-76.998999999999796</v>
      </c>
      <c r="AA120" s="1">
        <f t="shared" si="73"/>
        <v>84.020000000000437</v>
      </c>
      <c r="AB120" s="10">
        <f t="shared" si="74"/>
        <v>1.0911830023766629</v>
      </c>
      <c r="AC120" s="1">
        <f t="shared" si="75"/>
        <v>0.82897411073609617</v>
      </c>
      <c r="AD120" s="1">
        <f t="shared" si="76"/>
        <v>47</v>
      </c>
      <c r="AE120" s="69">
        <f t="shared" si="77"/>
        <v>29.803072247331386</v>
      </c>
      <c r="AF120" s="71" t="str">
        <f t="shared" si="78"/>
        <v>ЮВ</v>
      </c>
      <c r="AG120" s="1">
        <f t="shared" si="79"/>
        <v>2.3126185428536967</v>
      </c>
      <c r="AH120" s="72">
        <f t="shared" si="80"/>
        <v>132</v>
      </c>
      <c r="AI120" s="73">
        <f t="shared" si="81"/>
        <v>30.196927752667762</v>
      </c>
      <c r="AJ120" s="1">
        <f>((1+COS(2*(AH120)))/2)*X120</f>
        <v>113.64467189445791</v>
      </c>
      <c r="AK120" s="111"/>
      <c r="AL120" s="113"/>
    </row>
    <row r="121" spans="1:38" x14ac:dyDescent="0.3">
      <c r="A121" s="16">
        <v>112</v>
      </c>
      <c r="B121" s="12">
        <v>24389.856</v>
      </c>
      <c r="C121" s="35">
        <v>13277.421</v>
      </c>
      <c r="D121" s="99"/>
      <c r="E121" s="101"/>
      <c r="F121" s="103"/>
      <c r="G121" s="116"/>
      <c r="H121" s="40" t="s">
        <v>153</v>
      </c>
      <c r="I121" s="45">
        <v>30.407</v>
      </c>
      <c r="J121" s="119"/>
      <c r="K121" s="121"/>
      <c r="L121" s="113"/>
      <c r="M121" s="56"/>
      <c r="N121" s="56"/>
      <c r="O121" s="56"/>
      <c r="P121" s="56"/>
      <c r="Q121" s="56"/>
      <c r="R121" s="56"/>
      <c r="S121" s="119"/>
      <c r="T121" s="119"/>
      <c r="U121" s="119"/>
      <c r="V121" s="119"/>
      <c r="W121" s="107"/>
      <c r="X121" s="105"/>
      <c r="Y121" s="109">
        <f t="shared" ref="Y121" si="127">SQRT((B121-B122)^2+(C121-C122)^2)</f>
        <v>29.195726142708786</v>
      </c>
      <c r="Z121" s="68">
        <f t="shared" si="73"/>
        <v>12.116000000001804</v>
      </c>
      <c r="AA121" s="1">
        <f t="shared" si="73"/>
        <v>26.563000000000102</v>
      </c>
      <c r="AB121" s="10">
        <f t="shared" si="74"/>
        <v>2.192390227797635</v>
      </c>
      <c r="AC121" s="1">
        <f t="shared" si="75"/>
        <v>1.1428620450600395</v>
      </c>
      <c r="AD121" s="1">
        <f t="shared" si="76"/>
        <v>65</v>
      </c>
      <c r="AE121" s="69">
        <f t="shared" si="77"/>
        <v>28.870304857823044</v>
      </c>
      <c r="AF121" s="71" t="str">
        <f t="shared" si="78"/>
        <v>СВ</v>
      </c>
      <c r="AG121" s="1">
        <f t="shared" si="79"/>
        <v>1.1428620450600395</v>
      </c>
      <c r="AH121" s="72">
        <f t="shared" si="80"/>
        <v>65</v>
      </c>
      <c r="AI121" s="73">
        <f t="shared" si="81"/>
        <v>28.870304857823044</v>
      </c>
      <c r="AJ121" s="1">
        <f>((1+COS(2*(AH121)))/2)*Y121</f>
        <v>9.2361945220811545</v>
      </c>
      <c r="AK121" s="111"/>
      <c r="AL121" s="113"/>
    </row>
    <row r="122" spans="1:38" x14ac:dyDescent="0.3">
      <c r="A122" s="16">
        <v>113</v>
      </c>
      <c r="B122" s="12">
        <v>24401.972000000002</v>
      </c>
      <c r="C122" s="35">
        <v>13303.984</v>
      </c>
      <c r="D122" s="99"/>
      <c r="E122" s="101"/>
      <c r="F122" s="103"/>
      <c r="G122" s="116"/>
      <c r="H122" s="40" t="s">
        <v>154</v>
      </c>
      <c r="I122" s="45">
        <v>56.97</v>
      </c>
      <c r="J122" s="119"/>
      <c r="K122" s="121"/>
      <c r="L122" s="113"/>
      <c r="M122" s="56"/>
      <c r="N122" s="56"/>
      <c r="O122" s="56"/>
      <c r="P122" s="56"/>
      <c r="Q122" s="56"/>
      <c r="R122" s="56"/>
      <c r="S122" s="119"/>
      <c r="T122" s="119"/>
      <c r="U122" s="119"/>
      <c r="V122" s="119"/>
      <c r="W122" s="107"/>
      <c r="X122" s="110">
        <f t="shared" ref="X122" si="128">SQRT((B122-B123)^2+(C122-C123)^2)</f>
        <v>29.490028840270011</v>
      </c>
      <c r="Y122" s="109"/>
      <c r="Z122" s="68">
        <f t="shared" si="73"/>
        <v>27.479999999999563</v>
      </c>
      <c r="AA122" s="1">
        <f t="shared" si="73"/>
        <v>10.700999999999112</v>
      </c>
      <c r="AB122" s="10">
        <f t="shared" si="74"/>
        <v>0.38941048034931885</v>
      </c>
      <c r="AC122" s="1">
        <f t="shared" si="75"/>
        <v>0.3713442803697064</v>
      </c>
      <c r="AD122" s="1">
        <f t="shared" si="76"/>
        <v>21</v>
      </c>
      <c r="AE122" s="69">
        <f t="shared" si="77"/>
        <v>16.587600690415414</v>
      </c>
      <c r="AF122" s="71" t="str">
        <f t="shared" si="78"/>
        <v>СВ</v>
      </c>
      <c r="AG122" s="1">
        <f t="shared" si="79"/>
        <v>0.3713442803697064</v>
      </c>
      <c r="AH122" s="72">
        <f t="shared" si="80"/>
        <v>21</v>
      </c>
      <c r="AI122" s="73">
        <f t="shared" si="81"/>
        <v>16.587600690415414</v>
      </c>
      <c r="AJ122" s="1">
        <f>((1+COS(2*(AH122)))/2)*X122</f>
        <v>8.8472251827895239</v>
      </c>
      <c r="AK122" s="111"/>
      <c r="AL122" s="113"/>
    </row>
    <row r="123" spans="1:38" ht="15" thickBot="1" x14ac:dyDescent="0.35">
      <c r="A123" s="15">
        <v>114</v>
      </c>
      <c r="B123" s="13">
        <v>24429.452000000001</v>
      </c>
      <c r="C123" s="34">
        <v>13314.684999999999</v>
      </c>
      <c r="D123" s="99"/>
      <c r="E123" s="101"/>
      <c r="F123" s="103"/>
      <c r="G123" s="117"/>
      <c r="H123" s="43" t="s">
        <v>155</v>
      </c>
      <c r="I123" s="46">
        <v>67.671000000000006</v>
      </c>
      <c r="J123" s="123"/>
      <c r="K123" s="122"/>
      <c r="L123" s="113"/>
      <c r="M123" s="56"/>
      <c r="N123" s="56"/>
      <c r="O123" s="56"/>
      <c r="P123" s="56"/>
      <c r="Q123" s="56"/>
      <c r="R123" s="56"/>
      <c r="S123" s="119"/>
      <c r="T123" s="119"/>
      <c r="U123" s="119"/>
      <c r="V123" s="119"/>
      <c r="W123" s="107"/>
      <c r="X123" s="105"/>
      <c r="Y123" s="109">
        <f t="shared" ref="Y123" si="129">SQRT((B123-B124)^2+(C123-C124)^2)</f>
        <v>105.57061809518784</v>
      </c>
      <c r="Z123" s="68">
        <f t="shared" si="73"/>
        <v>72.893000000000029</v>
      </c>
      <c r="AA123" s="1">
        <f t="shared" si="73"/>
        <v>-76.365999999999985</v>
      </c>
      <c r="AB123" s="10">
        <f t="shared" si="74"/>
        <v>1.0476451785493799</v>
      </c>
      <c r="AC123" s="1">
        <f t="shared" si="75"/>
        <v>0.8086622441429141</v>
      </c>
      <c r="AD123" s="1">
        <f t="shared" si="76"/>
        <v>46</v>
      </c>
      <c r="AE123" s="69">
        <f t="shared" si="77"/>
        <v>19.976018458005029</v>
      </c>
      <c r="AF123" s="71" t="str">
        <f t="shared" si="78"/>
        <v>СЗ</v>
      </c>
      <c r="AG123" s="1">
        <f t="shared" si="79"/>
        <v>5.4745230630366724</v>
      </c>
      <c r="AH123" s="72">
        <f t="shared" si="80"/>
        <v>313</v>
      </c>
      <c r="AI123" s="73">
        <f t="shared" si="81"/>
        <v>40.023981541994544</v>
      </c>
      <c r="AJ123" s="1">
        <f>((1+COS(2*(AH123)))/2)*Y123</f>
        <v>16.892392012717316</v>
      </c>
      <c r="AK123" s="111"/>
      <c r="AL123" s="113"/>
    </row>
    <row r="124" spans="1:38" x14ac:dyDescent="0.3">
      <c r="A124" s="15">
        <v>115</v>
      </c>
      <c r="B124" s="13">
        <v>24502.345000000001</v>
      </c>
      <c r="C124" s="34">
        <v>13238.319</v>
      </c>
      <c r="D124" s="99"/>
      <c r="E124" s="101"/>
      <c r="F124" s="103"/>
      <c r="G124" s="115" t="s">
        <v>156</v>
      </c>
      <c r="H124" s="41" t="s">
        <v>157</v>
      </c>
      <c r="I124" s="44">
        <v>100.74299999999999</v>
      </c>
      <c r="J124" s="118">
        <f>SUM(I124:I137)</f>
        <v>936.55100000000016</v>
      </c>
      <c r="K124" s="120">
        <f>J124^2</f>
        <v>877127.77560100029</v>
      </c>
      <c r="L124" s="113"/>
      <c r="M124" s="56"/>
      <c r="N124" s="56"/>
      <c r="O124" s="56"/>
      <c r="P124" s="56"/>
      <c r="Q124" s="56"/>
      <c r="R124" s="56"/>
      <c r="S124" s="119"/>
      <c r="T124" s="119"/>
      <c r="U124" s="119"/>
      <c r="V124" s="119"/>
      <c r="W124" s="107"/>
      <c r="X124" s="110">
        <f t="shared" ref="X124" si="130">SQRT((B124-B125)^2+(C124-C125)^2)</f>
        <v>16.466475184446516</v>
      </c>
      <c r="Y124" s="109"/>
      <c r="Z124" s="68">
        <f t="shared" si="73"/>
        <v>-3.0740000000005239</v>
      </c>
      <c r="AA124" s="1">
        <f t="shared" si="73"/>
        <v>-16.17699999999968</v>
      </c>
      <c r="AB124" s="10">
        <f t="shared" si="74"/>
        <v>5.262524398177268</v>
      </c>
      <c r="AC124" s="1">
        <f t="shared" si="75"/>
        <v>1.3830123053051069</v>
      </c>
      <c r="AD124" s="1">
        <f t="shared" si="76"/>
        <v>79</v>
      </c>
      <c r="AE124" s="69">
        <f t="shared" si="77"/>
        <v>14.446086518465506</v>
      </c>
      <c r="AF124" s="71" t="str">
        <f t="shared" si="78"/>
        <v>ЮЗ</v>
      </c>
      <c r="AG124" s="1">
        <f t="shared" si="79"/>
        <v>4.5246049588948996</v>
      </c>
      <c r="AH124" s="72">
        <f t="shared" si="80"/>
        <v>259</v>
      </c>
      <c r="AI124" s="73">
        <f t="shared" si="81"/>
        <v>14.446086518464654</v>
      </c>
      <c r="AJ124" s="1">
        <f>((1+COS(2*(AH124)))/2)*X124</f>
        <v>0.53589235351187037</v>
      </c>
      <c r="AK124" s="111"/>
      <c r="AL124" s="113"/>
    </row>
    <row r="125" spans="1:38" x14ac:dyDescent="0.3">
      <c r="A125" s="16">
        <v>116</v>
      </c>
      <c r="B125" s="12">
        <v>24499.271000000001</v>
      </c>
      <c r="C125" s="35">
        <v>13222.142</v>
      </c>
      <c r="D125" s="99" t="s">
        <v>16</v>
      </c>
      <c r="E125" s="101">
        <f>AVERAGE(B123:B138)</f>
        <v>24378.613625000002</v>
      </c>
      <c r="F125" s="103">
        <f>AVERAGE(C123:C138)</f>
        <v>13137.575500000001</v>
      </c>
      <c r="G125" s="116"/>
      <c r="H125" s="40" t="s">
        <v>158</v>
      </c>
      <c r="I125" s="45">
        <v>84.566000000000003</v>
      </c>
      <c r="J125" s="119"/>
      <c r="K125" s="121"/>
      <c r="L125" s="113"/>
      <c r="M125" s="56"/>
      <c r="N125" s="56"/>
      <c r="O125" s="56"/>
      <c r="P125" s="56"/>
      <c r="Q125" s="56"/>
      <c r="R125" s="56"/>
      <c r="S125" s="119"/>
      <c r="T125" s="119"/>
      <c r="U125" s="119"/>
      <c r="V125" s="119"/>
      <c r="W125" s="107"/>
      <c r="X125" s="105"/>
      <c r="Y125" s="109">
        <f t="shared" ref="Y125" si="131">SQRT((B125-B126)^2+(C125-C126)^2)</f>
        <v>42.811742991846785</v>
      </c>
      <c r="Z125" s="68">
        <f t="shared" si="73"/>
        <v>-30.656999999999243</v>
      </c>
      <c r="AA125" s="1">
        <f t="shared" si="73"/>
        <v>-29.882999999999811</v>
      </c>
      <c r="AB125" s="10">
        <f t="shared" si="74"/>
        <v>0.9747529112437795</v>
      </c>
      <c r="AC125" s="1">
        <f t="shared" si="75"/>
        <v>0.77261392433478315</v>
      </c>
      <c r="AD125" s="1">
        <f t="shared" si="76"/>
        <v>44</v>
      </c>
      <c r="AE125" s="69">
        <f t="shared" si="77"/>
        <v>16.051023445380395</v>
      </c>
      <c r="AF125" s="71" t="str">
        <f t="shared" si="78"/>
        <v>ЮЗ</v>
      </c>
      <c r="AG125" s="1">
        <f t="shared" si="79"/>
        <v>3.9142065779245763</v>
      </c>
      <c r="AH125" s="72">
        <f t="shared" si="80"/>
        <v>224</v>
      </c>
      <c r="AI125" s="73">
        <f t="shared" si="81"/>
        <v>16.051023445379542</v>
      </c>
      <c r="AJ125" s="1">
        <f>((1+COS(2*(AH125)))/2)*Y125</f>
        <v>14.610421610791484</v>
      </c>
      <c r="AK125" s="111"/>
      <c r="AL125" s="113"/>
    </row>
    <row r="126" spans="1:38" x14ac:dyDescent="0.3">
      <c r="A126" s="16">
        <v>117</v>
      </c>
      <c r="B126" s="12">
        <v>24468.614000000001</v>
      </c>
      <c r="C126" s="35">
        <v>13192.259</v>
      </c>
      <c r="D126" s="99"/>
      <c r="E126" s="101"/>
      <c r="F126" s="103"/>
      <c r="G126" s="116"/>
      <c r="H126" s="40" t="s">
        <v>159</v>
      </c>
      <c r="I126" s="45">
        <v>54.683</v>
      </c>
      <c r="J126" s="119"/>
      <c r="K126" s="121"/>
      <c r="L126" s="113"/>
      <c r="M126" s="56"/>
      <c r="N126" s="56"/>
      <c r="O126" s="56"/>
      <c r="P126" s="56"/>
      <c r="Q126" s="56"/>
      <c r="R126" s="56"/>
      <c r="S126" s="119"/>
      <c r="T126" s="119"/>
      <c r="U126" s="119"/>
      <c r="V126" s="119"/>
      <c r="W126" s="107"/>
      <c r="X126" s="110">
        <f t="shared" ref="X126" si="132">SQRT((B126-B127)^2+(C126-C127)^2)</f>
        <v>16.025829214113795</v>
      </c>
      <c r="Y126" s="109"/>
      <c r="Z126" s="68">
        <f t="shared" si="73"/>
        <v>10.898999999997613</v>
      </c>
      <c r="AA126" s="1">
        <f t="shared" si="73"/>
        <v>-11.748999999999796</v>
      </c>
      <c r="AB126" s="10">
        <f t="shared" si="74"/>
        <v>1.077988806312723</v>
      </c>
      <c r="AC126" s="1">
        <f t="shared" si="75"/>
        <v>0.82291146445683916</v>
      </c>
      <c r="AD126" s="1">
        <f t="shared" si="76"/>
        <v>47</v>
      </c>
      <c r="AE126" s="69">
        <f t="shared" si="77"/>
        <v>8.9612295784041862</v>
      </c>
      <c r="AF126" s="71" t="str">
        <f t="shared" si="78"/>
        <v>СЗ</v>
      </c>
      <c r="AG126" s="1">
        <f t="shared" si="79"/>
        <v>5.4602738427227475</v>
      </c>
      <c r="AH126" s="72">
        <f t="shared" si="80"/>
        <v>312</v>
      </c>
      <c r="AI126" s="73">
        <f t="shared" si="81"/>
        <v>51.038770421597519</v>
      </c>
      <c r="AJ126" s="1">
        <f>((1+COS(2*(AH126)))/2)*X126</f>
        <v>4.937925626468707</v>
      </c>
      <c r="AK126" s="111"/>
      <c r="AL126" s="113"/>
    </row>
    <row r="127" spans="1:38" x14ac:dyDescent="0.3">
      <c r="A127" s="16">
        <v>118</v>
      </c>
      <c r="B127" s="12">
        <v>24479.512999999999</v>
      </c>
      <c r="C127" s="35">
        <v>13180.51</v>
      </c>
      <c r="D127" s="99"/>
      <c r="E127" s="101"/>
      <c r="F127" s="103"/>
      <c r="G127" s="116"/>
      <c r="H127" s="40" t="s">
        <v>160</v>
      </c>
      <c r="I127" s="45">
        <v>42.933999999999997</v>
      </c>
      <c r="J127" s="119"/>
      <c r="K127" s="121"/>
      <c r="L127" s="113"/>
      <c r="M127" s="56"/>
      <c r="N127" s="56"/>
      <c r="O127" s="56"/>
      <c r="P127" s="56"/>
      <c r="Q127" s="56"/>
      <c r="R127" s="56"/>
      <c r="S127" s="119"/>
      <c r="T127" s="119"/>
      <c r="U127" s="119"/>
      <c r="V127" s="119"/>
      <c r="W127" s="107"/>
      <c r="X127" s="105"/>
      <c r="Y127" s="109">
        <f t="shared" ref="Y127" si="133">SQRT((B127-B128)^2+(C127-C128)^2)</f>
        <v>19.535218683188937</v>
      </c>
      <c r="Z127" s="68">
        <f t="shared" si="73"/>
        <v>-4.8950000000004366</v>
      </c>
      <c r="AA127" s="1">
        <f t="shared" si="73"/>
        <v>-18.912000000000262</v>
      </c>
      <c r="AB127" s="10">
        <f t="shared" si="74"/>
        <v>3.8635342185901074</v>
      </c>
      <c r="AC127" s="1">
        <f t="shared" si="75"/>
        <v>1.3175241473552473</v>
      </c>
      <c r="AD127" s="1">
        <f t="shared" si="76"/>
        <v>75</v>
      </c>
      <c r="AE127" s="69">
        <f t="shared" si="77"/>
        <v>29.314383001682245</v>
      </c>
      <c r="AF127" s="71" t="str">
        <f t="shared" si="78"/>
        <v>ЮЗ</v>
      </c>
      <c r="AG127" s="1">
        <f t="shared" si="79"/>
        <v>4.4591168009450399</v>
      </c>
      <c r="AH127" s="72">
        <f t="shared" si="80"/>
        <v>255</v>
      </c>
      <c r="AI127" s="73">
        <f t="shared" si="81"/>
        <v>29.31438300168054</v>
      </c>
      <c r="AJ127" s="1">
        <f>((1+COS(2*(AH127)))/2)*Y127</f>
        <v>14.52575395416825</v>
      </c>
      <c r="AK127" s="111"/>
      <c r="AL127" s="113"/>
    </row>
    <row r="128" spans="1:38" x14ac:dyDescent="0.3">
      <c r="A128" s="16">
        <v>119</v>
      </c>
      <c r="B128" s="12">
        <v>24474.617999999999</v>
      </c>
      <c r="C128" s="35">
        <v>13161.598</v>
      </c>
      <c r="D128" s="99"/>
      <c r="E128" s="101"/>
      <c r="F128" s="103"/>
      <c r="G128" s="116"/>
      <c r="H128" s="40" t="s">
        <v>161</v>
      </c>
      <c r="I128" s="45">
        <v>24.021999999999998</v>
      </c>
      <c r="J128" s="119"/>
      <c r="K128" s="121"/>
      <c r="L128" s="113"/>
      <c r="M128" s="56"/>
      <c r="N128" s="56"/>
      <c r="O128" s="56"/>
      <c r="P128" s="56"/>
      <c r="Q128" s="56"/>
      <c r="R128" s="56"/>
      <c r="S128" s="119"/>
      <c r="T128" s="119"/>
      <c r="U128" s="119"/>
      <c r="V128" s="119"/>
      <c r="W128" s="107"/>
      <c r="X128" s="110">
        <f t="shared" ref="X128" si="134">SQRT((B128-B129)^2+(C128-C129)^2)</f>
        <v>18.414385164864822</v>
      </c>
      <c r="Y128" s="109"/>
      <c r="Z128" s="68">
        <f t="shared" si="73"/>
        <v>-18.194999999999709</v>
      </c>
      <c r="AA128" s="1">
        <f t="shared" si="73"/>
        <v>-2.8340000000007421</v>
      </c>
      <c r="AB128" s="10">
        <f t="shared" si="74"/>
        <v>0.15575707611985642</v>
      </c>
      <c r="AC128" s="1">
        <f t="shared" si="75"/>
        <v>0.15451552937247187</v>
      </c>
      <c r="AD128" s="1">
        <f t="shared" si="76"/>
        <v>8</v>
      </c>
      <c r="AE128" s="69">
        <f t="shared" si="77"/>
        <v>51.185262136340626</v>
      </c>
      <c r="AF128" s="71" t="str">
        <f t="shared" si="78"/>
        <v>ЮЗ</v>
      </c>
      <c r="AG128" s="1">
        <f t="shared" si="79"/>
        <v>3.2961081829622652</v>
      </c>
      <c r="AH128" s="72">
        <f t="shared" si="80"/>
        <v>188</v>
      </c>
      <c r="AI128" s="73">
        <f t="shared" si="81"/>
        <v>51.185262136340839</v>
      </c>
      <c r="AJ128" s="1">
        <f>((1+COS(2*(AH128)))/2)*X128</f>
        <v>14.250473571536855</v>
      </c>
      <c r="AK128" s="111"/>
      <c r="AL128" s="113"/>
    </row>
    <row r="129" spans="1:38" x14ac:dyDescent="0.3">
      <c r="A129" s="16">
        <v>120</v>
      </c>
      <c r="B129" s="12">
        <v>24456.422999999999</v>
      </c>
      <c r="C129" s="35">
        <v>13158.763999999999</v>
      </c>
      <c r="D129" s="99"/>
      <c r="E129" s="101"/>
      <c r="F129" s="103"/>
      <c r="G129" s="116"/>
      <c r="H129" s="40" t="s">
        <v>162</v>
      </c>
      <c r="I129" s="45">
        <v>21.209</v>
      </c>
      <c r="J129" s="119"/>
      <c r="K129" s="121"/>
      <c r="L129" s="113"/>
      <c r="M129" s="56"/>
      <c r="N129" s="56"/>
      <c r="O129" s="56"/>
      <c r="P129" s="56"/>
      <c r="Q129" s="56"/>
      <c r="R129" s="56"/>
      <c r="S129" s="119"/>
      <c r="T129" s="119"/>
      <c r="U129" s="119"/>
      <c r="V129" s="119"/>
      <c r="W129" s="107"/>
      <c r="X129" s="105"/>
      <c r="Y129" s="109">
        <f t="shared" ref="Y129" si="135">SQRT((B129-B130)^2+(C129-C130)^2)</f>
        <v>93.237228927075876</v>
      </c>
      <c r="Z129" s="68">
        <f t="shared" si="73"/>
        <v>-87.406999999999243</v>
      </c>
      <c r="AA129" s="1">
        <f t="shared" si="73"/>
        <v>32.453000000001339</v>
      </c>
      <c r="AB129" s="10">
        <f t="shared" si="74"/>
        <v>0.37128605260450098</v>
      </c>
      <c r="AC129" s="1">
        <f t="shared" si="75"/>
        <v>0.35551063775820685</v>
      </c>
      <c r="AD129" s="1">
        <f t="shared" si="76"/>
        <v>20</v>
      </c>
      <c r="AE129" s="69">
        <f t="shared" si="77"/>
        <v>22.155546932970012</v>
      </c>
      <c r="AF129" s="71" t="str">
        <f t="shared" si="78"/>
        <v>ЮВ</v>
      </c>
      <c r="AG129" s="1">
        <f t="shared" si="79"/>
        <v>2.7860820158315862</v>
      </c>
      <c r="AH129" s="72">
        <f t="shared" si="80"/>
        <v>159</v>
      </c>
      <c r="AI129" s="73">
        <f t="shared" si="81"/>
        <v>37.844453067029349</v>
      </c>
      <c r="AJ129" s="1">
        <f>((1+COS(2*(AH129)))/2)*Y129</f>
        <v>10.936976243543935</v>
      </c>
      <c r="AK129" s="111"/>
      <c r="AL129" s="113"/>
    </row>
    <row r="130" spans="1:38" x14ac:dyDescent="0.3">
      <c r="A130" s="16">
        <v>121</v>
      </c>
      <c r="B130" s="12">
        <v>24369.016</v>
      </c>
      <c r="C130" s="35">
        <v>13191.217000000001</v>
      </c>
      <c r="D130" s="99"/>
      <c r="E130" s="101"/>
      <c r="F130" s="103"/>
      <c r="G130" s="116"/>
      <c r="H130" s="40" t="s">
        <v>163</v>
      </c>
      <c r="I130" s="45">
        <v>53.640999999999998</v>
      </c>
      <c r="J130" s="119"/>
      <c r="K130" s="121"/>
      <c r="L130" s="113"/>
      <c r="M130" s="56"/>
      <c r="N130" s="56"/>
      <c r="O130" s="56"/>
      <c r="P130" s="56"/>
      <c r="Q130" s="56"/>
      <c r="R130" s="56"/>
      <c r="S130" s="119"/>
      <c r="T130" s="119"/>
      <c r="U130" s="119"/>
      <c r="V130" s="119"/>
      <c r="W130" s="107"/>
      <c r="X130" s="110">
        <f t="shared" ref="X130" si="136">SQRT((B130-B131)^2+(C130-C131)^2)</f>
        <v>36.09406550944442</v>
      </c>
      <c r="Y130" s="109"/>
      <c r="Z130" s="68">
        <f t="shared" si="73"/>
        <v>-34.274000000001251</v>
      </c>
      <c r="AA130" s="1">
        <f t="shared" si="73"/>
        <v>11.316999999999098</v>
      </c>
      <c r="AB130" s="10">
        <f t="shared" si="74"/>
        <v>0.33019198226056734</v>
      </c>
      <c r="AC130" s="1">
        <f t="shared" si="75"/>
        <v>0.3189206790885713</v>
      </c>
      <c r="AD130" s="1">
        <f t="shared" si="76"/>
        <v>18</v>
      </c>
      <c r="AE130" s="69">
        <f t="shared" si="77"/>
        <v>16.368534673275903</v>
      </c>
      <c r="AF130" s="71" t="str">
        <f t="shared" si="78"/>
        <v>ЮВ</v>
      </c>
      <c r="AG130" s="1">
        <f t="shared" si="79"/>
        <v>2.8226719745012216</v>
      </c>
      <c r="AH130" s="72">
        <f t="shared" si="80"/>
        <v>161</v>
      </c>
      <c r="AI130" s="73">
        <f t="shared" si="81"/>
        <v>43.631465326722605</v>
      </c>
      <c r="AJ130" s="1">
        <f>((1+COS(2*(AH130)))/2)*X130</f>
        <v>18.286094678441145</v>
      </c>
      <c r="AK130" s="111"/>
      <c r="AL130" s="113"/>
    </row>
    <row r="131" spans="1:38" ht="15" thickBot="1" x14ac:dyDescent="0.35">
      <c r="A131" s="16">
        <v>122</v>
      </c>
      <c r="B131" s="12">
        <v>24334.741999999998</v>
      </c>
      <c r="C131" s="35">
        <v>13202.534</v>
      </c>
      <c r="D131" s="99"/>
      <c r="E131" s="101"/>
      <c r="F131" s="103"/>
      <c r="G131" s="116"/>
      <c r="H131" s="40" t="s">
        <v>164</v>
      </c>
      <c r="I131" s="45">
        <v>64.957999999999998</v>
      </c>
      <c r="J131" s="119"/>
      <c r="K131" s="121"/>
      <c r="L131" s="113"/>
      <c r="M131" s="56"/>
      <c r="N131" s="56"/>
      <c r="O131" s="56"/>
      <c r="P131" s="56"/>
      <c r="Q131" s="56"/>
      <c r="R131" s="56"/>
      <c r="S131" s="123"/>
      <c r="T131" s="123"/>
      <c r="U131" s="123"/>
      <c r="V131" s="119"/>
      <c r="W131" s="107"/>
      <c r="X131" s="105"/>
      <c r="Y131" s="109">
        <f t="shared" ref="Y131" si="137">SQRT((B131-B132)^2+(C131-C132)^2)</f>
        <v>23.201510834424475</v>
      </c>
      <c r="Z131" s="68">
        <f t="shared" si="73"/>
        <v>-11.203999999997905</v>
      </c>
      <c r="AA131" s="1">
        <f t="shared" si="73"/>
        <v>-20.316999999999098</v>
      </c>
      <c r="AB131" s="10">
        <f t="shared" si="74"/>
        <v>1.8133702249199302</v>
      </c>
      <c r="AC131" s="1">
        <f t="shared" si="75"/>
        <v>1.0668333695149419</v>
      </c>
      <c r="AD131" s="1">
        <f t="shared" si="76"/>
        <v>61</v>
      </c>
      <c r="AE131" s="69">
        <f t="shared" si="77"/>
        <v>7.5029710156076135</v>
      </c>
      <c r="AF131" s="71" t="str">
        <f t="shared" si="78"/>
        <v>ЮЗ</v>
      </c>
      <c r="AG131" s="1">
        <f t="shared" si="79"/>
        <v>4.2084260231047352</v>
      </c>
      <c r="AH131" s="72">
        <f t="shared" si="80"/>
        <v>241</v>
      </c>
      <c r="AI131" s="73">
        <f t="shared" si="81"/>
        <v>7.5029710156076135</v>
      </c>
      <c r="AJ131" s="1">
        <f>((1+COS(2*(AH131)))/2)*Y131</f>
        <v>8.9055544329075609</v>
      </c>
      <c r="AK131" s="111"/>
      <c r="AL131" s="113"/>
    </row>
    <row r="132" spans="1:38" x14ac:dyDescent="0.3">
      <c r="A132" s="16">
        <v>123</v>
      </c>
      <c r="B132" s="12">
        <v>24323.538</v>
      </c>
      <c r="C132" s="35">
        <v>13182.217000000001</v>
      </c>
      <c r="D132" s="99"/>
      <c r="E132" s="101"/>
      <c r="F132" s="103"/>
      <c r="G132" s="116"/>
      <c r="H132" s="40" t="s">
        <v>165</v>
      </c>
      <c r="I132" s="45">
        <v>44.640999999999998</v>
      </c>
      <c r="J132" s="119"/>
      <c r="K132" s="121"/>
      <c r="L132" s="113"/>
      <c r="M132" s="56"/>
      <c r="N132" s="56"/>
      <c r="O132" s="56"/>
      <c r="P132" s="56"/>
      <c r="Q132" s="56"/>
      <c r="R132" s="56"/>
      <c r="S132" s="118">
        <v>354.4</v>
      </c>
      <c r="T132" s="118">
        <f>S132^2</f>
        <v>125599.35999999999</v>
      </c>
      <c r="U132" s="118">
        <f>G5*T132</f>
        <v>113039423.99999999</v>
      </c>
      <c r="V132" s="119"/>
      <c r="W132" s="107"/>
      <c r="X132" s="110">
        <f t="shared" ref="X132" si="138">SQRT((B132-B133)^2+(C132-C133)^2)</f>
        <v>91.808780435206245</v>
      </c>
      <c r="Y132" s="109"/>
      <c r="Z132" s="68">
        <f t="shared" si="73"/>
        <v>-63.550999999999476</v>
      </c>
      <c r="AA132" s="1">
        <f t="shared" si="73"/>
        <v>-66.257999999999811</v>
      </c>
      <c r="AB132" s="10">
        <f t="shared" si="74"/>
        <v>1.0425957105317045</v>
      </c>
      <c r="AC132" s="1">
        <f t="shared" si="75"/>
        <v>0.80624885709299421</v>
      </c>
      <c r="AD132" s="1">
        <f t="shared" si="76"/>
        <v>46</v>
      </c>
      <c r="AE132" s="69">
        <f t="shared" si="77"/>
        <v>11.679404920488992</v>
      </c>
      <c r="AF132" s="71" t="str">
        <f t="shared" si="78"/>
        <v>ЮЗ</v>
      </c>
      <c r="AG132" s="1">
        <f t="shared" si="79"/>
        <v>3.9478415106827871</v>
      </c>
      <c r="AH132" s="72">
        <f t="shared" si="80"/>
        <v>226</v>
      </c>
      <c r="AI132" s="73">
        <f t="shared" si="81"/>
        <v>11.679404920487286</v>
      </c>
      <c r="AJ132" s="1">
        <f>((1+COS(2*(AH132)))/2)*X132</f>
        <v>88.373249012390332</v>
      </c>
      <c r="AK132" s="111"/>
      <c r="AL132" s="113"/>
    </row>
    <row r="133" spans="1:38" x14ac:dyDescent="0.3">
      <c r="A133" s="16">
        <v>124</v>
      </c>
      <c r="B133" s="12">
        <v>24259.987000000001</v>
      </c>
      <c r="C133" s="35">
        <v>13115.959000000001</v>
      </c>
      <c r="D133" s="99"/>
      <c r="E133" s="101"/>
      <c r="F133" s="103"/>
      <c r="G133" s="116"/>
      <c r="H133" s="40" t="s">
        <v>166</v>
      </c>
      <c r="I133" s="45">
        <v>21.617000000000001</v>
      </c>
      <c r="J133" s="119"/>
      <c r="K133" s="121"/>
      <c r="L133" s="113"/>
      <c r="M133" s="56"/>
      <c r="N133" s="56"/>
      <c r="O133" s="56"/>
      <c r="P133" s="56"/>
      <c r="Q133" s="56"/>
      <c r="R133" s="56"/>
      <c r="S133" s="119"/>
      <c r="T133" s="119"/>
      <c r="U133" s="119"/>
      <c r="V133" s="119"/>
      <c r="W133" s="107"/>
      <c r="X133" s="105"/>
      <c r="Y133" s="109">
        <f t="shared" ref="Y133" si="139">SQRT((B133-B134)^2+(C133-C134)^2)</f>
        <v>60.925387975786279</v>
      </c>
      <c r="Z133" s="68">
        <f t="shared" si="73"/>
        <v>44.229999999999563</v>
      </c>
      <c r="AA133" s="1">
        <f t="shared" si="73"/>
        <v>-41.900000000001455</v>
      </c>
      <c r="AB133" s="10">
        <f t="shared" si="74"/>
        <v>0.9473208229708765</v>
      </c>
      <c r="AC133" s="1">
        <f t="shared" si="75"/>
        <v>0.75835262907754208</v>
      </c>
      <c r="AD133" s="1">
        <f t="shared" si="76"/>
        <v>43</v>
      </c>
      <c r="AE133" s="69">
        <f t="shared" si="77"/>
        <v>27.024301727589375</v>
      </c>
      <c r="AF133" s="71" t="str">
        <f t="shared" si="78"/>
        <v>СЗ</v>
      </c>
      <c r="AG133" s="1">
        <f t="shared" si="79"/>
        <v>5.5248326781020438</v>
      </c>
      <c r="AH133" s="72">
        <f t="shared" si="80"/>
        <v>316</v>
      </c>
      <c r="AI133" s="73">
        <f t="shared" si="81"/>
        <v>32.975698272409772</v>
      </c>
      <c r="AJ133" s="1">
        <f>((1+COS(2*(AH133)))/2)*Y133</f>
        <v>4.3326448544270004</v>
      </c>
      <c r="AK133" s="111"/>
      <c r="AL133" s="113"/>
    </row>
    <row r="134" spans="1:38" x14ac:dyDescent="0.3">
      <c r="A134" s="16">
        <v>125</v>
      </c>
      <c r="B134" s="12">
        <v>24304.217000000001</v>
      </c>
      <c r="C134" s="35">
        <v>13074.058999999999</v>
      </c>
      <c r="D134" s="99"/>
      <c r="E134" s="101"/>
      <c r="F134" s="103"/>
      <c r="G134" s="116"/>
      <c r="H134" s="40" t="s">
        <v>167</v>
      </c>
      <c r="I134" s="45">
        <v>63.517000000000003</v>
      </c>
      <c r="J134" s="119"/>
      <c r="K134" s="121"/>
      <c r="L134" s="113"/>
      <c r="M134" s="56"/>
      <c r="N134" s="56"/>
      <c r="O134" s="56"/>
      <c r="P134" s="56"/>
      <c r="Q134" s="56"/>
      <c r="R134" s="56"/>
      <c r="S134" s="119"/>
      <c r="T134" s="119"/>
      <c r="U134" s="119"/>
      <c r="V134" s="119"/>
      <c r="W134" s="107"/>
      <c r="X134" s="110">
        <f t="shared" ref="X134" si="140">SQRT((B134-B135)^2+(C134-C135)^2)</f>
        <v>43.030165244858843</v>
      </c>
      <c r="Y134" s="109"/>
      <c r="Z134" s="68">
        <f t="shared" si="73"/>
        <v>31.438999999998487</v>
      </c>
      <c r="AA134" s="1">
        <f t="shared" si="73"/>
        <v>-29.3799999999992</v>
      </c>
      <c r="AB134" s="10">
        <f t="shared" si="74"/>
        <v>0.93450809504121035</v>
      </c>
      <c r="AC134" s="1">
        <f t="shared" si="75"/>
        <v>0.75155653639265274</v>
      </c>
      <c r="AD134" s="1">
        <f t="shared" si="76"/>
        <v>43</v>
      </c>
      <c r="AE134" s="69">
        <f t="shared" si="77"/>
        <v>3.6610560461556929</v>
      </c>
      <c r="AF134" s="71" t="str">
        <f t="shared" si="78"/>
        <v>СЗ</v>
      </c>
      <c r="AG134" s="1">
        <f t="shared" si="79"/>
        <v>5.5316287707869334</v>
      </c>
      <c r="AH134" s="72">
        <f t="shared" si="80"/>
        <v>316</v>
      </c>
      <c r="AI134" s="73">
        <f t="shared" si="81"/>
        <v>56.338943953843454</v>
      </c>
      <c r="AJ134" s="1">
        <f>((1+COS(2*(AH134)))/2)*X134</f>
        <v>3.0600449209675333</v>
      </c>
      <c r="AK134" s="111"/>
      <c r="AL134" s="113"/>
    </row>
    <row r="135" spans="1:38" x14ac:dyDescent="0.3">
      <c r="A135" s="16">
        <v>126</v>
      </c>
      <c r="B135" s="12">
        <v>24335.655999999999</v>
      </c>
      <c r="C135" s="35">
        <v>13044.679</v>
      </c>
      <c r="D135" s="99"/>
      <c r="E135" s="101"/>
      <c r="F135" s="103"/>
      <c r="G135" s="116"/>
      <c r="H135" s="40" t="s">
        <v>168</v>
      </c>
      <c r="I135" s="45">
        <v>92.897000000000006</v>
      </c>
      <c r="J135" s="119"/>
      <c r="K135" s="121"/>
      <c r="L135" s="113"/>
      <c r="M135" s="56"/>
      <c r="N135" s="56"/>
      <c r="O135" s="56"/>
      <c r="P135" s="56"/>
      <c r="Q135" s="56"/>
      <c r="R135" s="56"/>
      <c r="S135" s="119"/>
      <c r="T135" s="119"/>
      <c r="U135" s="119"/>
      <c r="V135" s="119"/>
      <c r="W135" s="107"/>
      <c r="X135" s="105"/>
      <c r="Y135" s="109">
        <f t="shared" ref="Y135" si="141">SQRT((B135-B136)^2+(C135-C136)^2)</f>
        <v>13.788896475063011</v>
      </c>
      <c r="Z135" s="68">
        <f t="shared" si="73"/>
        <v>-5.0750000000007276</v>
      </c>
      <c r="AA135" s="1">
        <f t="shared" si="73"/>
        <v>-12.820999999999913</v>
      </c>
      <c r="AB135" s="10">
        <f t="shared" si="74"/>
        <v>2.5263054187188323</v>
      </c>
      <c r="AC135" s="1">
        <f t="shared" si="75"/>
        <v>1.19388565164614</v>
      </c>
      <c r="AD135" s="1">
        <f t="shared" si="76"/>
        <v>68</v>
      </c>
      <c r="AE135" s="69">
        <f t="shared" si="77"/>
        <v>24.276543632990695</v>
      </c>
      <c r="AF135" s="71" t="str">
        <f t="shared" si="78"/>
        <v>ЮЗ</v>
      </c>
      <c r="AG135" s="1">
        <f t="shared" si="79"/>
        <v>4.3354783052359327</v>
      </c>
      <c r="AH135" s="72">
        <f t="shared" si="80"/>
        <v>248</v>
      </c>
      <c r="AI135" s="73">
        <f t="shared" si="81"/>
        <v>24.276543632989842</v>
      </c>
      <c r="AJ135" s="1">
        <f>((1+COS(2*(AH135)))/2)*Y135</f>
        <v>13.318235306831145</v>
      </c>
      <c r="AK135" s="111"/>
      <c r="AL135" s="113"/>
    </row>
    <row r="136" spans="1:38" x14ac:dyDescent="0.3">
      <c r="A136" s="16">
        <v>127</v>
      </c>
      <c r="B136" s="12">
        <v>24330.580999999998</v>
      </c>
      <c r="C136" s="35">
        <v>13031.858</v>
      </c>
      <c r="D136" s="99"/>
      <c r="E136" s="101"/>
      <c r="F136" s="103"/>
      <c r="G136" s="116"/>
      <c r="H136" s="40" t="s">
        <v>169</v>
      </c>
      <c r="I136" s="45">
        <v>105.691</v>
      </c>
      <c r="J136" s="119"/>
      <c r="K136" s="121"/>
      <c r="L136" s="113"/>
      <c r="M136" s="56"/>
      <c r="N136" s="56"/>
      <c r="O136" s="56"/>
      <c r="P136" s="56"/>
      <c r="Q136" s="56"/>
      <c r="R136" s="56"/>
      <c r="S136" s="119"/>
      <c r="T136" s="119"/>
      <c r="U136" s="119"/>
      <c r="V136" s="119"/>
      <c r="W136" s="107"/>
      <c r="X136" s="110">
        <f t="shared" ref="X136" si="142">SQRT((B136-B137)^2+(C136-C137)^2)</f>
        <v>80.152009831319404</v>
      </c>
      <c r="Y136" s="109"/>
      <c r="Z136" s="68">
        <f t="shared" si="73"/>
        <v>-57.621999999999389</v>
      </c>
      <c r="AA136" s="1">
        <f t="shared" si="73"/>
        <v>-55.713999999999942</v>
      </c>
      <c r="AB136" s="10">
        <f t="shared" si="74"/>
        <v>0.96688764707924979</v>
      </c>
      <c r="AC136" s="1">
        <f t="shared" si="75"/>
        <v>0.76856485553874732</v>
      </c>
      <c r="AD136" s="1">
        <f t="shared" si="76"/>
        <v>44</v>
      </c>
      <c r="AE136" s="69">
        <f t="shared" si="77"/>
        <v>2.1313502671219453</v>
      </c>
      <c r="AF136" s="71" t="str">
        <f t="shared" si="78"/>
        <v>ЮЗ</v>
      </c>
      <c r="AG136" s="1">
        <f t="shared" si="79"/>
        <v>3.9101575091285405</v>
      </c>
      <c r="AH136" s="72">
        <f t="shared" si="80"/>
        <v>224</v>
      </c>
      <c r="AI136" s="73">
        <f t="shared" si="81"/>
        <v>2.131350267122798</v>
      </c>
      <c r="AJ136" s="1">
        <f>((1+COS(2*(AH136)))/2)*X136</f>
        <v>27.353585132259159</v>
      </c>
      <c r="AK136" s="111"/>
      <c r="AL136" s="113"/>
    </row>
    <row r="137" spans="1:38" ht="16.8" thickBot="1" x14ac:dyDescent="0.35">
      <c r="A137" s="15">
        <v>128</v>
      </c>
      <c r="B137" s="13">
        <v>24272.958999999999</v>
      </c>
      <c r="C137" s="34">
        <v>12976.144</v>
      </c>
      <c r="D137" s="99"/>
      <c r="E137" s="101"/>
      <c r="F137" s="103"/>
      <c r="G137" s="129"/>
      <c r="H137" s="42" t="s">
        <v>170</v>
      </c>
      <c r="I137" s="47">
        <v>161.43199999999999</v>
      </c>
      <c r="J137" s="123"/>
      <c r="K137" s="122"/>
      <c r="L137" s="114"/>
      <c r="M137" s="56"/>
      <c r="N137" s="56"/>
      <c r="O137" s="61" t="s">
        <v>215</v>
      </c>
      <c r="P137" s="48" t="s">
        <v>216</v>
      </c>
      <c r="Q137" s="51" t="s">
        <v>217</v>
      </c>
      <c r="R137" s="76" t="s">
        <v>197</v>
      </c>
      <c r="S137" s="119"/>
      <c r="T137" s="119"/>
      <c r="U137" s="119"/>
      <c r="V137" s="119"/>
      <c r="W137" s="107"/>
      <c r="X137" s="105"/>
      <c r="Y137" s="109">
        <f t="shared" ref="Y137" si="143">SQRT((B137-B138)^2+(C137-C138)^2)</f>
        <v>83.50638136693604</v>
      </c>
      <c r="Z137" s="68">
        <f t="shared" si="73"/>
        <v>-56.07300000000032</v>
      </c>
      <c r="AA137" s="1">
        <f t="shared" si="73"/>
        <v>-61.880000000001019</v>
      </c>
      <c r="AB137" s="10">
        <f t="shared" si="74"/>
        <v>1.1035614288516873</v>
      </c>
      <c r="AC137" s="1">
        <f t="shared" si="75"/>
        <v>0.83458991996175591</v>
      </c>
      <c r="AD137" s="1">
        <f t="shared" si="76"/>
        <v>47</v>
      </c>
      <c r="AE137" s="69">
        <f t="shared" si="77"/>
        <v>49.108802278187511</v>
      </c>
      <c r="AF137" s="71" t="str">
        <f t="shared" si="78"/>
        <v>ЮЗ</v>
      </c>
      <c r="AG137" s="1">
        <f t="shared" si="79"/>
        <v>3.976182573551549</v>
      </c>
      <c r="AH137" s="72">
        <f t="shared" si="80"/>
        <v>227</v>
      </c>
      <c r="AI137" s="73">
        <f t="shared" si="81"/>
        <v>49.108802278186658</v>
      </c>
      <c r="AJ137" s="1">
        <f>((1+COS(2*(AH137)))/2)*Y137</f>
        <v>40.089284247347962</v>
      </c>
      <c r="AK137" s="111"/>
      <c r="AL137" s="113"/>
    </row>
    <row r="138" spans="1:38" ht="15" thickBot="1" x14ac:dyDescent="0.35">
      <c r="A138" s="15">
        <v>129</v>
      </c>
      <c r="B138" s="13">
        <v>24216.885999999999</v>
      </c>
      <c r="C138" s="34">
        <v>12914.263999999999</v>
      </c>
      <c r="D138" s="124"/>
      <c r="E138" s="125"/>
      <c r="F138" s="126"/>
      <c r="G138" s="57"/>
      <c r="H138" s="57"/>
      <c r="I138" s="57"/>
      <c r="J138" s="58"/>
      <c r="K138" s="59"/>
      <c r="L138" s="56"/>
      <c r="M138" s="115" t="s">
        <v>202</v>
      </c>
      <c r="N138" s="54" t="s">
        <v>203</v>
      </c>
      <c r="O138" s="62">
        <v>136.62799999999999</v>
      </c>
      <c r="P138" s="118">
        <f>SUM(O138:O145)</f>
        <v>762.31499999999983</v>
      </c>
      <c r="Q138" s="118">
        <f>P138^2</f>
        <v>581124.15922499972</v>
      </c>
      <c r="R138" s="106">
        <f>(1/(2*E5))*(C5*Q138)</f>
        <v>2.7317933548479897E-3</v>
      </c>
      <c r="S138" s="119"/>
      <c r="T138" s="119"/>
      <c r="U138" s="119"/>
      <c r="V138" s="119"/>
      <c r="W138" s="107"/>
      <c r="X138" s="110">
        <f t="shared" ref="X138" si="144">SQRT((B138-B139)^2+(C138-C139)^2)</f>
        <v>27.623447467684677</v>
      </c>
      <c r="Y138" s="109"/>
      <c r="Z138" s="68">
        <f t="shared" si="73"/>
        <v>-26.580999999998312</v>
      </c>
      <c r="AA138" s="1">
        <f t="shared" si="73"/>
        <v>7.5170000000016444</v>
      </c>
      <c r="AB138" s="10">
        <f t="shared" si="74"/>
        <v>0.28279598209255191</v>
      </c>
      <c r="AC138" s="1">
        <f t="shared" si="75"/>
        <v>0.27559952981446478</v>
      </c>
      <c r="AD138" s="1">
        <f t="shared" si="76"/>
        <v>15</v>
      </c>
      <c r="AE138" s="69">
        <f t="shared" si="77"/>
        <v>47.441393649523889</v>
      </c>
      <c r="AF138" s="71" t="str">
        <f t="shared" si="78"/>
        <v>ЮВ</v>
      </c>
      <c r="AG138" s="1">
        <f t="shared" si="79"/>
        <v>2.8659931237753282</v>
      </c>
      <c r="AH138" s="72">
        <f t="shared" si="80"/>
        <v>164</v>
      </c>
      <c r="AI138" s="73">
        <f t="shared" si="81"/>
        <v>12.558606350476111</v>
      </c>
      <c r="AJ138" s="1">
        <f>((1+COS(2*(AH138)))/2)*X138</f>
        <v>17.846266067378977</v>
      </c>
      <c r="AK138" s="111"/>
      <c r="AL138" s="113"/>
    </row>
    <row r="139" spans="1:38" x14ac:dyDescent="0.3">
      <c r="A139" s="16">
        <v>130</v>
      </c>
      <c r="B139" s="12">
        <v>24190.305</v>
      </c>
      <c r="C139" s="17">
        <v>12921.781000000001</v>
      </c>
      <c r="D139" s="57"/>
      <c r="E139" s="57"/>
      <c r="F139" s="57"/>
      <c r="G139" s="57"/>
      <c r="H139" s="57"/>
      <c r="I139" s="57"/>
      <c r="J139" s="58"/>
      <c r="K139" s="59"/>
      <c r="L139" s="56"/>
      <c r="M139" s="116"/>
      <c r="N139" s="53" t="s">
        <v>204</v>
      </c>
      <c r="O139" s="88">
        <v>144.14599999999999</v>
      </c>
      <c r="P139" s="119"/>
      <c r="Q139" s="119"/>
      <c r="R139" s="107"/>
      <c r="S139" s="119"/>
      <c r="T139" s="119"/>
      <c r="U139" s="119"/>
      <c r="V139" s="119"/>
      <c r="W139" s="107"/>
      <c r="X139" s="105"/>
      <c r="Y139" s="109">
        <f t="shared" ref="Y139" si="145">SQRT((B139-B140)^2+(C139-C140)^2)</f>
        <v>41.757720076651324</v>
      </c>
      <c r="Z139" s="68">
        <f t="shared" ref="Z139:AA144" si="146">B140-B139</f>
        <v>-40.534999999999854</v>
      </c>
      <c r="AA139" s="1">
        <f t="shared" si="146"/>
        <v>10.03099999999904</v>
      </c>
      <c r="AB139" s="10">
        <f t="shared" ref="AB139:AB144" si="147">ABS(AA139/Z139)</f>
        <v>0.24746515357096524</v>
      </c>
      <c r="AC139" s="1">
        <f t="shared" ref="AC139:AC144" si="148">ATAN(AB139)</f>
        <v>0.24259150606030638</v>
      </c>
      <c r="AD139" s="1">
        <f t="shared" ref="AD139:AD144" si="149">TRUNC(DEGREES(AC139))</f>
        <v>13</v>
      </c>
      <c r="AE139" s="69">
        <f t="shared" ref="AE139:AE144" si="150">(DEGREES(AC139)-AD139)*60</f>
        <v>53.968166578673333</v>
      </c>
      <c r="AF139" s="71" t="str">
        <f t="shared" ref="AF139:AF170" si="151">IF(AND(Z139&gt;0, AA139&gt;0),"СВ", IF(AND(Z139&lt;0, AA139&gt;0), "ЮВ", IF(AND(Z139&lt;0, AA139&lt;0), "ЮЗ", IF(AND(Z139&gt;0, AA139&lt;0), "СЗ"))))</f>
        <v>ЮВ</v>
      </c>
      <c r="AG139" s="1">
        <f t="shared" ref="AG139:AG170" si="152">IF( AF139 = "СВ", AC139, IF(AF139="ЮВ", PI()-AC139, IF(AF139="ЮЗ", PI()+AC139, IF(AF139="СЗ", 2*PI()-AC139, ""))))</f>
        <v>2.8990011475294866</v>
      </c>
      <c r="AH139" s="72">
        <f t="shared" ref="AH139:AH144" si="153">TRUNC(DEGREES(AG139))</f>
        <v>166</v>
      </c>
      <c r="AI139" s="73">
        <f t="shared" ref="AI139:AI144" si="154">(DEGREES(AG139)-AH139)*60</f>
        <v>6.031833421325814</v>
      </c>
      <c r="AJ139" s="1">
        <f>((1+COS(2*(AH139)))/2)*Y139</f>
        <v>32.004338682583992</v>
      </c>
      <c r="AK139" s="111"/>
      <c r="AL139" s="113"/>
    </row>
    <row r="140" spans="1:38" x14ac:dyDescent="0.3">
      <c r="A140" s="16">
        <v>131</v>
      </c>
      <c r="B140" s="12">
        <v>24149.77</v>
      </c>
      <c r="C140" s="17">
        <v>12931.812</v>
      </c>
      <c r="D140" s="57"/>
      <c r="E140" s="57"/>
      <c r="F140" s="57"/>
      <c r="G140" s="57"/>
      <c r="H140" s="57"/>
      <c r="I140" s="57"/>
      <c r="J140" s="58"/>
      <c r="K140" s="59"/>
      <c r="L140" s="56"/>
      <c r="M140" s="116"/>
      <c r="N140" s="53" t="s">
        <v>205</v>
      </c>
      <c r="O140" s="88">
        <v>154.11699999999999</v>
      </c>
      <c r="P140" s="119"/>
      <c r="Q140" s="119"/>
      <c r="R140" s="107"/>
      <c r="S140" s="119"/>
      <c r="T140" s="119"/>
      <c r="U140" s="119"/>
      <c r="V140" s="119"/>
      <c r="W140" s="107"/>
      <c r="X140" s="110">
        <f t="shared" ref="X140" si="155">SQRT((B140-B141)^2+(C140-C141)^2)</f>
        <v>57.451326268416643</v>
      </c>
      <c r="Y140" s="109"/>
      <c r="Z140" s="68">
        <f t="shared" si="146"/>
        <v>-0.51699999999982538</v>
      </c>
      <c r="AA140" s="1">
        <f t="shared" si="146"/>
        <v>-57.449000000000524</v>
      </c>
      <c r="AB140" s="10">
        <f t="shared" si="147"/>
        <v>111.11992263059948</v>
      </c>
      <c r="AC140" s="1">
        <f t="shared" si="148"/>
        <v>1.5617972834017704</v>
      </c>
      <c r="AD140" s="1">
        <f t="shared" si="149"/>
        <v>89</v>
      </c>
      <c r="AE140" s="69">
        <f t="shared" si="150"/>
        <v>29.063567635127185</v>
      </c>
      <c r="AF140" s="71" t="str">
        <f t="shared" si="151"/>
        <v>ЮЗ</v>
      </c>
      <c r="AG140" s="1">
        <f t="shared" si="152"/>
        <v>4.703389936991563</v>
      </c>
      <c r="AH140" s="72">
        <f t="shared" si="153"/>
        <v>269</v>
      </c>
      <c r="AI140" s="73">
        <f t="shared" si="154"/>
        <v>29.063567635124627</v>
      </c>
      <c r="AJ140" s="1">
        <f>((1+COS(2*(AH140)))/2)*X140</f>
        <v>8.4594699083102487</v>
      </c>
      <c r="AK140" s="111"/>
      <c r="AL140" s="113"/>
    </row>
    <row r="141" spans="1:38" x14ac:dyDescent="0.3">
      <c r="A141" s="16">
        <v>132</v>
      </c>
      <c r="B141" s="12">
        <v>24149.253000000001</v>
      </c>
      <c r="C141" s="17">
        <v>12874.362999999999</v>
      </c>
      <c r="D141" s="57"/>
      <c r="E141" s="57"/>
      <c r="F141" s="57"/>
      <c r="G141" s="57"/>
      <c r="H141" s="57"/>
      <c r="I141" s="57"/>
      <c r="J141" s="58"/>
      <c r="K141" s="59"/>
      <c r="L141" s="56"/>
      <c r="M141" s="116"/>
      <c r="N141" s="53" t="s">
        <v>206</v>
      </c>
      <c r="O141" s="88">
        <v>96.727999999999994</v>
      </c>
      <c r="P141" s="119"/>
      <c r="Q141" s="119"/>
      <c r="R141" s="107"/>
      <c r="S141" s="119"/>
      <c r="T141" s="119"/>
      <c r="U141" s="119"/>
      <c r="V141" s="119"/>
      <c r="W141" s="107"/>
      <c r="X141" s="105"/>
      <c r="Y141" s="109">
        <f t="shared" ref="Y141" si="156">SQRT((B141-B142)^2+(C141-C142)^2)</f>
        <v>13.89360788276481</v>
      </c>
      <c r="Z141" s="68">
        <f t="shared" si="146"/>
        <v>-8.3480000000017753</v>
      </c>
      <c r="AA141" s="1">
        <f t="shared" si="146"/>
        <v>-11.105999999999767</v>
      </c>
      <c r="AB141" s="10">
        <f t="shared" si="147"/>
        <v>1.3303785337802354</v>
      </c>
      <c r="AC141" s="1">
        <f t="shared" si="148"/>
        <v>0.92622997973337762</v>
      </c>
      <c r="AD141" s="1">
        <f t="shared" si="149"/>
        <v>53</v>
      </c>
      <c r="AE141" s="69">
        <f t="shared" si="150"/>
        <v>4.1441218326187368</v>
      </c>
      <c r="AF141" s="71" t="str">
        <f t="shared" si="151"/>
        <v>ЮЗ</v>
      </c>
      <c r="AG141" s="1">
        <f t="shared" si="152"/>
        <v>4.0678226333231704</v>
      </c>
      <c r="AH141" s="72">
        <f t="shared" si="153"/>
        <v>233</v>
      </c>
      <c r="AI141" s="73">
        <f t="shared" si="154"/>
        <v>4.1441218326178841</v>
      </c>
      <c r="AJ141" s="1">
        <f>((1+COS(2*(AH141)))/2)*Y141</f>
        <v>10.437699753705019</v>
      </c>
      <c r="AK141" s="111"/>
      <c r="AL141" s="113"/>
    </row>
    <row r="142" spans="1:38" x14ac:dyDescent="0.3">
      <c r="A142" s="16">
        <v>133</v>
      </c>
      <c r="B142" s="12">
        <v>24140.904999999999</v>
      </c>
      <c r="C142" s="17">
        <v>12863.257</v>
      </c>
      <c r="D142" s="57"/>
      <c r="E142" s="57"/>
      <c r="F142" s="57"/>
      <c r="G142" s="57"/>
      <c r="H142" s="57"/>
      <c r="I142" s="57"/>
      <c r="J142" s="58"/>
      <c r="K142" s="59"/>
      <c r="L142" s="56"/>
      <c r="M142" s="116"/>
      <c r="N142" s="53" t="s">
        <v>207</v>
      </c>
      <c r="O142" s="88">
        <v>85.622</v>
      </c>
      <c r="P142" s="119"/>
      <c r="Q142" s="119"/>
      <c r="R142" s="107"/>
      <c r="S142" s="119"/>
      <c r="T142" s="119"/>
      <c r="U142" s="119"/>
      <c r="V142" s="119"/>
      <c r="W142" s="107"/>
      <c r="X142" s="110">
        <f t="shared" ref="X142" si="157">SQRT((B142-B143)^2+(C142-C143)^2)</f>
        <v>16.915776570997721</v>
      </c>
      <c r="Y142" s="109"/>
      <c r="Z142" s="68">
        <f t="shared" si="146"/>
        <v>-15.235999999997148</v>
      </c>
      <c r="AA142" s="1">
        <f t="shared" si="146"/>
        <v>-7.3490000000001601</v>
      </c>
      <c r="AB142" s="10">
        <f t="shared" si="147"/>
        <v>0.48234444736161303</v>
      </c>
      <c r="AC142" s="1">
        <f t="shared" si="148"/>
        <v>0.4494236668339589</v>
      </c>
      <c r="AD142" s="1">
        <f t="shared" si="149"/>
        <v>25</v>
      </c>
      <c r="AE142" s="69">
        <f t="shared" si="150"/>
        <v>45.004759372768746</v>
      </c>
      <c r="AF142" s="71" t="str">
        <f t="shared" si="151"/>
        <v>ЮЗ</v>
      </c>
      <c r="AG142" s="1">
        <f t="shared" si="152"/>
        <v>3.5910163204237522</v>
      </c>
      <c r="AH142" s="72">
        <f t="shared" si="153"/>
        <v>205</v>
      </c>
      <c r="AI142" s="73">
        <f t="shared" si="154"/>
        <v>45.004759372769172</v>
      </c>
      <c r="AJ142" s="1">
        <f>((1+COS(2*(AH142)))/2)*X142</f>
        <v>8.2704877578470573</v>
      </c>
      <c r="AK142" s="111"/>
      <c r="AL142" s="113"/>
    </row>
    <row r="143" spans="1:38" x14ac:dyDescent="0.3">
      <c r="A143" s="16">
        <v>134</v>
      </c>
      <c r="B143" s="12">
        <v>24125.669000000002</v>
      </c>
      <c r="C143" s="17">
        <v>12855.907999999999</v>
      </c>
      <c r="D143" s="57"/>
      <c r="E143" s="57"/>
      <c r="F143" s="57"/>
      <c r="G143" s="57"/>
      <c r="H143" s="57"/>
      <c r="I143" s="57"/>
      <c r="J143" s="58"/>
      <c r="K143" s="59"/>
      <c r="L143" s="56"/>
      <c r="M143" s="116"/>
      <c r="N143" s="53" t="s">
        <v>208</v>
      </c>
      <c r="O143" s="88">
        <v>78.272999999999996</v>
      </c>
      <c r="P143" s="119"/>
      <c r="Q143" s="119"/>
      <c r="R143" s="107"/>
      <c r="S143" s="119"/>
      <c r="T143" s="119"/>
      <c r="U143" s="119"/>
      <c r="V143" s="119"/>
      <c r="W143" s="107"/>
      <c r="X143" s="105"/>
      <c r="Y143" s="109">
        <f t="shared" ref="Y143" si="158">SQRT((B143-B144)^2+(C143-C144)^2)</f>
        <v>18.131703532761961</v>
      </c>
      <c r="Z143" s="68">
        <f t="shared" si="146"/>
        <v>-6.2730000000010477</v>
      </c>
      <c r="AA143" s="1">
        <f t="shared" si="146"/>
        <v>-17.011999999998807</v>
      </c>
      <c r="AB143" s="10">
        <f t="shared" si="147"/>
        <v>2.711940060576433</v>
      </c>
      <c r="AC143" s="1">
        <f t="shared" si="148"/>
        <v>1.2175253912807995</v>
      </c>
      <c r="AD143" s="1">
        <f t="shared" si="149"/>
        <v>69</v>
      </c>
      <c r="AE143" s="69">
        <f t="shared" si="150"/>
        <v>45.543982224238277</v>
      </c>
      <c r="AF143" s="71" t="str">
        <f t="shared" si="151"/>
        <v>ЮЗ</v>
      </c>
      <c r="AG143" s="1">
        <f t="shared" si="152"/>
        <v>4.3591180448705931</v>
      </c>
      <c r="AH143" s="72">
        <f t="shared" si="153"/>
        <v>249</v>
      </c>
      <c r="AI143" s="73">
        <f t="shared" si="154"/>
        <v>45.54398222423913</v>
      </c>
      <c r="AJ143" s="1">
        <f>((1+COS(2*(AH143)))/2)*Y143</f>
        <v>8.5442695635577515</v>
      </c>
      <c r="AK143" s="111"/>
      <c r="AL143" s="113"/>
    </row>
    <row r="144" spans="1:38" ht="15" thickBot="1" x14ac:dyDescent="0.35">
      <c r="A144" s="16">
        <v>135</v>
      </c>
      <c r="B144" s="12">
        <v>24119.396000000001</v>
      </c>
      <c r="C144" s="17">
        <v>12838.896000000001</v>
      </c>
      <c r="D144" s="57"/>
      <c r="E144" s="57"/>
      <c r="F144" s="57"/>
      <c r="G144" s="57"/>
      <c r="H144" s="57"/>
      <c r="I144" s="57"/>
      <c r="J144" s="58"/>
      <c r="K144" s="59"/>
      <c r="L144" s="56"/>
      <c r="M144" s="116"/>
      <c r="N144" s="53" t="s">
        <v>209</v>
      </c>
      <c r="O144" s="88">
        <v>61.261000000000003</v>
      </c>
      <c r="P144" s="119"/>
      <c r="Q144" s="119"/>
      <c r="R144" s="107"/>
      <c r="S144" s="119"/>
      <c r="T144" s="119"/>
      <c r="U144" s="119"/>
      <c r="V144" s="119"/>
      <c r="W144" s="107"/>
      <c r="X144" s="131">
        <f t="shared" ref="X144" si="159">SQRT((B144-B145)^2+(C144-C145)^2)</f>
        <v>55.720000008974601</v>
      </c>
      <c r="Y144" s="130"/>
      <c r="Z144" s="68">
        <f t="shared" si="146"/>
        <v>-1.0000000002037268E-3</v>
      </c>
      <c r="AA144" s="1">
        <f t="shared" si="146"/>
        <v>-55.720000000001164</v>
      </c>
      <c r="AB144" s="10">
        <f t="shared" si="147"/>
        <v>55719.999988649506</v>
      </c>
      <c r="AC144" s="1">
        <f t="shared" si="148"/>
        <v>1.5707783799176516</v>
      </c>
      <c r="AD144" s="1">
        <f t="shared" si="149"/>
        <v>89</v>
      </c>
      <c r="AE144" s="1">
        <f t="shared" si="150"/>
        <v>59.938303180705361</v>
      </c>
      <c r="AF144" s="71" t="str">
        <f t="shared" si="151"/>
        <v>ЮЗ</v>
      </c>
      <c r="AG144" s="1">
        <f t="shared" si="152"/>
        <v>4.7123710335074449</v>
      </c>
      <c r="AH144" s="1">
        <f t="shared" si="153"/>
        <v>269</v>
      </c>
      <c r="AI144" s="1">
        <f t="shared" si="154"/>
        <v>59.938303180705361</v>
      </c>
      <c r="AJ144" s="1">
        <f>((1+COS(2*(AH144)))/2)*X144</f>
        <v>8.2045392853897319</v>
      </c>
      <c r="AK144" s="111"/>
      <c r="AL144" s="114"/>
    </row>
    <row r="145" spans="1:38" ht="15" thickBot="1" x14ac:dyDescent="0.35">
      <c r="A145" s="18">
        <v>136</v>
      </c>
      <c r="B145" s="19">
        <v>24119.395</v>
      </c>
      <c r="C145" s="20">
        <v>12783.175999999999</v>
      </c>
      <c r="D145" s="57"/>
      <c r="E145" s="57"/>
      <c r="F145" s="57"/>
      <c r="G145" s="57"/>
      <c r="H145" s="57"/>
      <c r="I145" s="57"/>
      <c r="J145" s="58"/>
      <c r="K145" s="59"/>
      <c r="L145" s="56"/>
      <c r="M145" s="129"/>
      <c r="N145" s="55" t="s">
        <v>210</v>
      </c>
      <c r="O145" s="63">
        <v>5.54</v>
      </c>
      <c r="P145" s="123"/>
      <c r="Q145" s="123"/>
      <c r="R145" s="108"/>
      <c r="S145" s="123"/>
      <c r="T145" s="123"/>
      <c r="U145" s="123"/>
      <c r="V145" s="123"/>
      <c r="W145" s="108"/>
      <c r="X145" s="132"/>
      <c r="Y145" s="64"/>
    </row>
    <row r="146" spans="1:38" x14ac:dyDescent="0.3">
      <c r="A146" s="87"/>
      <c r="B146" s="87"/>
      <c r="C146" s="87"/>
      <c r="D146" s="8"/>
      <c r="E146" s="8"/>
      <c r="F146" s="8"/>
      <c r="G146" s="8"/>
      <c r="H146" s="8"/>
      <c r="I146" s="8"/>
      <c r="J146" s="49"/>
      <c r="K146" s="50"/>
      <c r="O146" s="86"/>
      <c r="W146" t="s">
        <v>249</v>
      </c>
      <c r="X146" s="89">
        <f>SUM(X10:Y145)</f>
        <v>10823.593281770223</v>
      </c>
    </row>
    <row r="147" spans="1:38" x14ac:dyDescent="0.3">
      <c r="A147" s="87"/>
      <c r="B147" s="87"/>
      <c r="C147" s="87"/>
      <c r="D147" s="8"/>
      <c r="E147" s="8"/>
      <c r="F147" s="8"/>
      <c r="G147" s="8"/>
      <c r="H147" s="8"/>
      <c r="I147" s="8"/>
      <c r="J147" s="49"/>
      <c r="K147" s="50"/>
      <c r="O147" s="86"/>
    </row>
    <row r="148" spans="1:38" x14ac:dyDescent="0.3">
      <c r="A148" s="87"/>
      <c r="B148" s="87"/>
      <c r="C148" s="87"/>
      <c r="D148" s="8"/>
      <c r="E148" s="8"/>
      <c r="F148" s="8"/>
      <c r="G148" s="8"/>
      <c r="H148" s="8"/>
      <c r="I148" s="8"/>
      <c r="J148" s="49"/>
      <c r="K148" s="50"/>
      <c r="O148" s="86"/>
    </row>
    <row r="149" spans="1:38" x14ac:dyDescent="0.3">
      <c r="J149" s="49"/>
      <c r="K149" s="50"/>
      <c r="O149" s="86"/>
    </row>
    <row r="150" spans="1:38" ht="15" thickBot="1" x14ac:dyDescent="0.35">
      <c r="A150" s="128" t="s">
        <v>201</v>
      </c>
      <c r="B150" s="128"/>
      <c r="C150" s="128"/>
      <c r="D150" s="93" t="s">
        <v>200</v>
      </c>
      <c r="E150" s="93"/>
      <c r="F150" s="93"/>
      <c r="J150" s="49"/>
      <c r="K150" s="50"/>
      <c r="O150" s="86"/>
      <c r="AC150" s="94" t="s">
        <v>236</v>
      </c>
      <c r="AD150" s="94"/>
      <c r="AE150" s="94"/>
      <c r="AG150" s="95" t="s">
        <v>237</v>
      </c>
      <c r="AH150" s="94"/>
      <c r="AI150" s="94"/>
    </row>
    <row r="151" spans="1:38" ht="16.8" thickBot="1" x14ac:dyDescent="0.35">
      <c r="A151" s="5" t="s">
        <v>0</v>
      </c>
      <c r="B151" s="6" t="s">
        <v>1</v>
      </c>
      <c r="C151" s="7" t="s">
        <v>2</v>
      </c>
      <c r="E151" s="5" t="s">
        <v>1</v>
      </c>
      <c r="F151" s="7" t="s">
        <v>2</v>
      </c>
      <c r="J151" s="49"/>
      <c r="K151" s="50"/>
      <c r="O151" s="86"/>
      <c r="X151" s="96" t="s">
        <v>228</v>
      </c>
      <c r="Y151" s="97"/>
      <c r="Z151" s="67" t="s">
        <v>229</v>
      </c>
      <c r="AA151" s="66" t="s">
        <v>230</v>
      </c>
      <c r="AB151" s="88" t="s">
        <v>231</v>
      </c>
      <c r="AC151" s="53" t="s">
        <v>232</v>
      </c>
      <c r="AD151" s="53" t="s">
        <v>233</v>
      </c>
      <c r="AE151" s="53" t="s">
        <v>234</v>
      </c>
      <c r="AF151" s="70" t="s">
        <v>235</v>
      </c>
      <c r="AG151" s="70" t="s">
        <v>232</v>
      </c>
      <c r="AH151" s="53" t="s">
        <v>233</v>
      </c>
      <c r="AI151" s="53" t="s">
        <v>234</v>
      </c>
      <c r="AJ151" s="70" t="s">
        <v>239</v>
      </c>
      <c r="AK151" s="78" t="s">
        <v>240</v>
      </c>
      <c r="AL151" s="77" t="s">
        <v>238</v>
      </c>
    </row>
    <row r="152" spans="1:38" ht="16.8" thickBot="1" x14ac:dyDescent="0.35">
      <c r="A152" s="28" t="s">
        <v>3</v>
      </c>
      <c r="B152" s="29">
        <v>24423.417000000001</v>
      </c>
      <c r="C152" s="36">
        <v>11376.392</v>
      </c>
      <c r="D152" s="98" t="s">
        <v>34</v>
      </c>
      <c r="E152" s="100">
        <f>AVERAGE(B152:B162)</f>
        <v>24394.50609090909</v>
      </c>
      <c r="F152" s="102">
        <f>AVERAGE(C152:C162)</f>
        <v>11472.212363636363</v>
      </c>
      <c r="I152" s="38" t="s">
        <v>35</v>
      </c>
      <c r="J152" s="48" t="s">
        <v>189</v>
      </c>
      <c r="K152" s="51" t="s">
        <v>190</v>
      </c>
      <c r="L152" s="76" t="s">
        <v>218</v>
      </c>
      <c r="O152" s="86"/>
      <c r="S152" s="86" t="s">
        <v>220</v>
      </c>
      <c r="T152" s="86" t="s">
        <v>221</v>
      </c>
      <c r="U152" s="86" t="s">
        <v>225</v>
      </c>
      <c r="V152" s="61" t="s">
        <v>226</v>
      </c>
      <c r="W152" s="75" t="s">
        <v>227</v>
      </c>
      <c r="X152" s="104">
        <f t="shared" ref="X152:X170" si="160">SQRT((B152-B153)^2+(C152-C153)^2)</f>
        <v>49.098756613582388</v>
      </c>
      <c r="Y152" s="65"/>
      <c r="Z152" s="68">
        <f>B153-B152</f>
        <v>46.525999999998021</v>
      </c>
      <c r="AA152" s="1">
        <f>C153-C152</f>
        <v>-15.684999999999491</v>
      </c>
      <c r="AB152" s="10">
        <f>ABS(AA152/Z152)</f>
        <v>0.33712332889137597</v>
      </c>
      <c r="AC152" s="1">
        <f>ATAN(AB152)</f>
        <v>0.32515766332183732</v>
      </c>
      <c r="AD152" s="1">
        <f>TRUNC(DEGREES(AC152))</f>
        <v>18</v>
      </c>
      <c r="AE152" s="69">
        <f>(DEGREES(AC152)-AD152)*60</f>
        <v>37.809707080622772</v>
      </c>
      <c r="AF152" s="71" t="str">
        <f t="shared" si="151"/>
        <v>СЗ</v>
      </c>
      <c r="AG152" s="1">
        <f t="shared" si="152"/>
        <v>5.9580276438577489</v>
      </c>
      <c r="AH152" s="72">
        <f>TRUNC(DEGREES(AG152))</f>
        <v>341</v>
      </c>
      <c r="AI152" s="73">
        <f>(DEGREES(AG152)-AH152)*60</f>
        <v>22.190292919376589</v>
      </c>
      <c r="AJ152" s="1">
        <f>((1+COS(2*(AH152)))/2)*X152</f>
        <v>0.91840373145443377</v>
      </c>
      <c r="AK152" s="111">
        <f>SUM(AJ152:AJ170)</f>
        <v>510.82990495075353</v>
      </c>
      <c r="AL152" s="112">
        <f>(1/2)*((0.001^2)*AK152)</f>
        <v>2.5541495247537676E-4</v>
      </c>
    </row>
    <row r="153" spans="1:38" x14ac:dyDescent="0.3">
      <c r="A153" s="30" t="s">
        <v>4</v>
      </c>
      <c r="B153" s="31">
        <v>24469.942999999999</v>
      </c>
      <c r="C153" s="37">
        <v>11360.707</v>
      </c>
      <c r="D153" s="99"/>
      <c r="E153" s="101"/>
      <c r="F153" s="103"/>
      <c r="G153" s="115" t="s">
        <v>171</v>
      </c>
      <c r="H153" s="23" t="s">
        <v>173</v>
      </c>
      <c r="I153" s="24">
        <v>111.505</v>
      </c>
      <c r="J153" s="118">
        <f>SUM(I153:I161)</f>
        <v>698.32799999999997</v>
      </c>
      <c r="K153" s="120">
        <f>J153^2</f>
        <v>487661.99558399996</v>
      </c>
      <c r="L153" s="112">
        <f>(1/E5)*((C5*K153)+(C5*K162))</f>
        <v>2.8285575303070163E-2</v>
      </c>
      <c r="M153" s="56"/>
      <c r="N153" s="56"/>
      <c r="O153" s="60"/>
      <c r="P153" s="56"/>
      <c r="Q153" s="56"/>
      <c r="R153" s="56"/>
      <c r="S153" s="118">
        <v>585.58000000000004</v>
      </c>
      <c r="T153" s="118">
        <f>S153^2</f>
        <v>342903.93640000006</v>
      </c>
      <c r="U153" s="118">
        <f>G5*T153</f>
        <v>308613542.76000005</v>
      </c>
      <c r="V153" s="118">
        <f>SUM(U153:U171)</f>
        <v>755150876.6049</v>
      </c>
      <c r="W153" s="106">
        <f>(1/E5)*V153</f>
        <v>1.7749357980298492E-2</v>
      </c>
      <c r="X153" s="105"/>
      <c r="Y153" s="109">
        <f>SQRT((B153-B154)^2+(C153-C154)^2)</f>
        <v>15.285243897301385</v>
      </c>
      <c r="Z153" s="68">
        <f t="shared" ref="Z153:AA170" si="161">B154-B153</f>
        <v>15.283999999999651</v>
      </c>
      <c r="AA153" s="1">
        <f t="shared" si="161"/>
        <v>-0.19499999999970896</v>
      </c>
      <c r="AB153" s="10">
        <f t="shared" ref="AB153:AB170" si="162">ABS(AA153/Z153)</f>
        <v>1.2758440198882061E-2</v>
      </c>
      <c r="AC153" s="1">
        <f t="shared" ref="AC153:AC170" si="163">ATAN(AB153)</f>
        <v>1.2757748002891985E-2</v>
      </c>
      <c r="AD153" s="1">
        <f t="shared" ref="AD153:AD170" si="164">TRUNC(DEGREES(AC153))</f>
        <v>0</v>
      </c>
      <c r="AE153" s="69">
        <f t="shared" ref="AE153:AE170" si="165">(DEGREES(AC153)-AD153)*60</f>
        <v>43.857906999429929</v>
      </c>
      <c r="AF153" s="71" t="str">
        <f t="shared" si="151"/>
        <v>СЗ</v>
      </c>
      <c r="AG153" s="1">
        <f t="shared" si="152"/>
        <v>6.270427559176694</v>
      </c>
      <c r="AH153" s="72">
        <f t="shared" ref="AH153:AH170" si="166">TRUNC(DEGREES(AG153))</f>
        <v>359</v>
      </c>
      <c r="AI153" s="73">
        <f t="shared" ref="AI153:AI170" si="167">(DEGREES(AG153)-AH153)*60</f>
        <v>16.142093000570412</v>
      </c>
      <c r="AJ153" s="1">
        <f>((1+COS(2*(AH153)))/2)*Y153</f>
        <v>6.5301643382981096</v>
      </c>
      <c r="AK153" s="111"/>
      <c r="AL153" s="113"/>
    </row>
    <row r="154" spans="1:38" x14ac:dyDescent="0.3">
      <c r="A154" s="9" t="s">
        <v>20</v>
      </c>
      <c r="B154" s="1">
        <v>24485.226999999999</v>
      </c>
      <c r="C154" s="10">
        <v>11360.512000000001</v>
      </c>
      <c r="D154" s="99"/>
      <c r="E154" s="101"/>
      <c r="F154" s="103"/>
      <c r="G154" s="116"/>
      <c r="H154" s="1" t="s">
        <v>174</v>
      </c>
      <c r="I154" s="2">
        <v>111.7</v>
      </c>
      <c r="J154" s="119"/>
      <c r="K154" s="121"/>
      <c r="L154" s="113"/>
      <c r="M154" s="56"/>
      <c r="N154" s="56"/>
      <c r="O154" s="60"/>
      <c r="P154" s="56"/>
      <c r="Q154" s="56"/>
      <c r="R154" s="56"/>
      <c r="S154" s="119"/>
      <c r="T154" s="119"/>
      <c r="U154" s="119"/>
      <c r="V154" s="119"/>
      <c r="W154" s="107"/>
      <c r="X154" s="127">
        <f t="shared" si="160"/>
        <v>9.6166865395529086</v>
      </c>
      <c r="Y154" s="109"/>
      <c r="Z154" s="68">
        <f t="shared" si="161"/>
        <v>7.1020000000025902</v>
      </c>
      <c r="AA154" s="1">
        <f t="shared" si="161"/>
        <v>6.4839999999985594</v>
      </c>
      <c r="AB154" s="10">
        <f t="shared" si="162"/>
        <v>0.91298225851819126</v>
      </c>
      <c r="AC154" s="1">
        <f t="shared" si="163"/>
        <v>0.73994149610874227</v>
      </c>
      <c r="AD154" s="1">
        <f t="shared" si="164"/>
        <v>42</v>
      </c>
      <c r="AE154" s="69">
        <f t="shared" si="165"/>
        <v>23.731488817605424</v>
      </c>
      <c r="AF154" s="71" t="str">
        <f t="shared" si="151"/>
        <v>СВ</v>
      </c>
      <c r="AG154" s="1">
        <f t="shared" si="152"/>
        <v>0.73994149610874227</v>
      </c>
      <c r="AH154" s="72">
        <f t="shared" si="166"/>
        <v>42</v>
      </c>
      <c r="AI154" s="73">
        <f t="shared" si="167"/>
        <v>23.731488817605424</v>
      </c>
      <c r="AJ154" s="1">
        <f>((1+COS(2*(AH154)))/2)*X154</f>
        <v>1.5385568714792155</v>
      </c>
      <c r="AK154" s="111"/>
      <c r="AL154" s="113"/>
    </row>
    <row r="155" spans="1:38" x14ac:dyDescent="0.3">
      <c r="A155" s="9" t="s">
        <v>21</v>
      </c>
      <c r="B155" s="1">
        <v>24492.329000000002</v>
      </c>
      <c r="C155" s="10">
        <v>11366.995999999999</v>
      </c>
      <c r="D155" s="99"/>
      <c r="E155" s="101"/>
      <c r="F155" s="103"/>
      <c r="G155" s="116"/>
      <c r="H155" s="1" t="s">
        <v>175</v>
      </c>
      <c r="I155" s="2">
        <v>105.21599999999999</v>
      </c>
      <c r="J155" s="119"/>
      <c r="K155" s="121"/>
      <c r="L155" s="113"/>
      <c r="M155" s="56"/>
      <c r="N155" s="56"/>
      <c r="O155" s="60"/>
      <c r="P155" s="56"/>
      <c r="Q155" s="56"/>
      <c r="R155" s="56"/>
      <c r="S155" s="119"/>
      <c r="T155" s="119"/>
      <c r="U155" s="119"/>
      <c r="V155" s="119"/>
      <c r="W155" s="107"/>
      <c r="X155" s="105"/>
      <c r="Y155" s="109">
        <f t="shared" ref="Y155" si="168">SQRT((B155-B156)^2+(C155-C156)^2)</f>
        <v>60.447894264398776</v>
      </c>
      <c r="Z155" s="68">
        <f t="shared" si="161"/>
        <v>20.224999999998545</v>
      </c>
      <c r="AA155" s="1">
        <f t="shared" si="161"/>
        <v>56.963999999999942</v>
      </c>
      <c r="AB155" s="10">
        <f t="shared" si="162"/>
        <v>2.816514215080546</v>
      </c>
      <c r="AC155" s="1">
        <f t="shared" si="163"/>
        <v>1.2296307872767824</v>
      </c>
      <c r="AD155" s="1">
        <f t="shared" si="164"/>
        <v>70</v>
      </c>
      <c r="AE155" s="69">
        <f t="shared" si="165"/>
        <v>27.159268218501609</v>
      </c>
      <c r="AF155" s="71" t="str">
        <f t="shared" si="151"/>
        <v>СВ</v>
      </c>
      <c r="AG155" s="1">
        <f t="shared" si="152"/>
        <v>1.2296307872767824</v>
      </c>
      <c r="AH155" s="72">
        <f t="shared" si="166"/>
        <v>70</v>
      </c>
      <c r="AI155" s="73">
        <f t="shared" si="167"/>
        <v>27.159268218501609</v>
      </c>
      <c r="AJ155" s="1">
        <f>((1+COS(2*(AH155)))/2)*Y155</f>
        <v>24.245240129462974</v>
      </c>
      <c r="AK155" s="111"/>
      <c r="AL155" s="113"/>
    </row>
    <row r="156" spans="1:38" x14ac:dyDescent="0.3">
      <c r="A156" s="9" t="s">
        <v>22</v>
      </c>
      <c r="B156" s="1">
        <v>24512.554</v>
      </c>
      <c r="C156" s="10">
        <v>11423.96</v>
      </c>
      <c r="D156" s="99"/>
      <c r="E156" s="101"/>
      <c r="F156" s="103"/>
      <c r="G156" s="116"/>
      <c r="H156" s="1" t="s">
        <v>176</v>
      </c>
      <c r="I156" s="2">
        <v>48.252000000000002</v>
      </c>
      <c r="J156" s="119"/>
      <c r="K156" s="121"/>
      <c r="L156" s="113"/>
      <c r="M156" s="56"/>
      <c r="N156" s="56"/>
      <c r="O156" s="60"/>
      <c r="P156" s="56"/>
      <c r="Q156" s="56"/>
      <c r="R156" s="56"/>
      <c r="S156" s="119"/>
      <c r="T156" s="119"/>
      <c r="U156" s="119"/>
      <c r="V156" s="119"/>
      <c r="W156" s="107"/>
      <c r="X156" s="127">
        <f t="shared" si="160"/>
        <v>16.148493985509639</v>
      </c>
      <c r="Y156" s="109"/>
      <c r="Z156" s="68">
        <f t="shared" si="161"/>
        <v>-8.0430000000014843</v>
      </c>
      <c r="AA156" s="1">
        <f t="shared" si="161"/>
        <v>14.003000000000611</v>
      </c>
      <c r="AB156" s="10">
        <f t="shared" si="162"/>
        <v>1.7410170334449866</v>
      </c>
      <c r="AC156" s="1">
        <f t="shared" si="163"/>
        <v>1.049430434792783</v>
      </c>
      <c r="AD156" s="1">
        <f t="shared" si="164"/>
        <v>60</v>
      </c>
      <c r="AE156" s="69">
        <f t="shared" si="165"/>
        <v>7.6760883723245854</v>
      </c>
      <c r="AF156" s="71" t="str">
        <f t="shared" si="151"/>
        <v>ЮВ</v>
      </c>
      <c r="AG156" s="1">
        <f t="shared" si="152"/>
        <v>2.0921622187970099</v>
      </c>
      <c r="AH156" s="72">
        <f t="shared" si="166"/>
        <v>119</v>
      </c>
      <c r="AI156" s="73">
        <f t="shared" si="167"/>
        <v>52.323911627674988</v>
      </c>
      <c r="AJ156" s="1">
        <f>((1+COS(2*(AH156)))/2)*X156</f>
        <v>13.920954470639021</v>
      </c>
      <c r="AK156" s="111"/>
      <c r="AL156" s="113"/>
    </row>
    <row r="157" spans="1:38" x14ac:dyDescent="0.3">
      <c r="A157" s="9" t="s">
        <v>23</v>
      </c>
      <c r="B157" s="1">
        <v>24504.510999999999</v>
      </c>
      <c r="C157" s="10">
        <v>11437.963</v>
      </c>
      <c r="D157" s="99"/>
      <c r="E157" s="101"/>
      <c r="F157" s="103"/>
      <c r="G157" s="116"/>
      <c r="H157" s="1" t="s">
        <v>177</v>
      </c>
      <c r="I157" s="2">
        <v>34.249000000000002</v>
      </c>
      <c r="J157" s="119"/>
      <c r="K157" s="121"/>
      <c r="L157" s="113"/>
      <c r="M157" s="56"/>
      <c r="N157" s="56"/>
      <c r="O157" s="60"/>
      <c r="P157" s="56"/>
      <c r="Q157" s="56"/>
      <c r="R157" s="56"/>
      <c r="S157" s="119"/>
      <c r="T157" s="119"/>
      <c r="U157" s="119"/>
      <c r="V157" s="119"/>
      <c r="W157" s="107"/>
      <c r="X157" s="105"/>
      <c r="Y157" s="109">
        <f t="shared" ref="Y157" si="169">SQRT((B157-B158)^2+(C157-C158)^2)</f>
        <v>84.874458820071752</v>
      </c>
      <c r="Z157" s="68">
        <f t="shared" si="161"/>
        <v>-83.252000000000407</v>
      </c>
      <c r="AA157" s="1">
        <f t="shared" si="161"/>
        <v>16.515999999999622</v>
      </c>
      <c r="AB157" s="10">
        <f t="shared" si="162"/>
        <v>0.19838562436937901</v>
      </c>
      <c r="AC157" s="1">
        <f t="shared" si="163"/>
        <v>0.19584279477067021</v>
      </c>
      <c r="AD157" s="1">
        <f t="shared" si="164"/>
        <v>11</v>
      </c>
      <c r="AE157" s="69">
        <f t="shared" si="165"/>
        <v>13.257935304369113</v>
      </c>
      <c r="AF157" s="71" t="str">
        <f t="shared" si="151"/>
        <v>ЮВ</v>
      </c>
      <c r="AG157" s="1">
        <f t="shared" si="152"/>
        <v>2.9457498588191231</v>
      </c>
      <c r="AH157" s="72">
        <f t="shared" si="166"/>
        <v>168</v>
      </c>
      <c r="AI157" s="73">
        <f t="shared" si="167"/>
        <v>46.742064695632166</v>
      </c>
      <c r="AJ157" s="1">
        <f>((1+COS(2*(AH157)))/2)*Y157</f>
        <v>0.47915299900226932</v>
      </c>
      <c r="AK157" s="111"/>
      <c r="AL157" s="113"/>
    </row>
    <row r="158" spans="1:38" x14ac:dyDescent="0.3">
      <c r="A158" s="9" t="s">
        <v>24</v>
      </c>
      <c r="B158" s="1">
        <v>24421.258999999998</v>
      </c>
      <c r="C158" s="10">
        <v>11454.478999999999</v>
      </c>
      <c r="D158" s="99"/>
      <c r="E158" s="101"/>
      <c r="F158" s="103"/>
      <c r="G158" s="116"/>
      <c r="H158" s="1" t="s">
        <v>178</v>
      </c>
      <c r="I158" s="2">
        <v>17.733000000000001</v>
      </c>
      <c r="J158" s="119"/>
      <c r="K158" s="121"/>
      <c r="L158" s="113"/>
      <c r="M158" s="56"/>
      <c r="N158" s="56"/>
      <c r="O158" s="60"/>
      <c r="P158" s="56"/>
      <c r="Q158" s="56"/>
      <c r="R158" s="56"/>
      <c r="S158" s="119"/>
      <c r="T158" s="119"/>
      <c r="U158" s="119"/>
      <c r="V158" s="119"/>
      <c r="W158" s="107"/>
      <c r="X158" s="127">
        <f t="shared" si="160"/>
        <v>63.52640701314521</v>
      </c>
      <c r="Y158" s="109"/>
      <c r="Z158" s="68">
        <f t="shared" si="161"/>
        <v>-62.311999999998079</v>
      </c>
      <c r="AA158" s="1">
        <f t="shared" si="161"/>
        <v>12.36200000000099</v>
      </c>
      <c r="AB158" s="10">
        <f t="shared" si="162"/>
        <v>0.19838875337015938</v>
      </c>
      <c r="AC158" s="1">
        <f t="shared" si="163"/>
        <v>0.19584580528519527</v>
      </c>
      <c r="AD158" s="1">
        <f t="shared" si="164"/>
        <v>11</v>
      </c>
      <c r="AE158" s="69">
        <f t="shared" si="165"/>
        <v>13.268284690956094</v>
      </c>
      <c r="AF158" s="71" t="str">
        <f t="shared" si="151"/>
        <v>ЮВ</v>
      </c>
      <c r="AG158" s="1">
        <f t="shared" si="152"/>
        <v>2.9457468483045979</v>
      </c>
      <c r="AH158" s="72">
        <f t="shared" si="166"/>
        <v>168</v>
      </c>
      <c r="AI158" s="73">
        <f t="shared" si="167"/>
        <v>46.731715309043693</v>
      </c>
      <c r="AJ158" s="1">
        <f>((1+COS(2*(AH158)))/2)*X158</f>
        <v>0.35863402087447427</v>
      </c>
      <c r="AK158" s="111"/>
      <c r="AL158" s="113"/>
    </row>
    <row r="159" spans="1:38" x14ac:dyDescent="0.3">
      <c r="A159" s="9" t="s">
        <v>25</v>
      </c>
      <c r="B159" s="1">
        <v>24358.947</v>
      </c>
      <c r="C159" s="10">
        <v>11466.841</v>
      </c>
      <c r="D159" s="99"/>
      <c r="E159" s="101"/>
      <c r="F159" s="103"/>
      <c r="G159" s="116"/>
      <c r="H159" s="1" t="s">
        <v>179</v>
      </c>
      <c r="I159" s="2">
        <v>5.3710000000000004</v>
      </c>
      <c r="J159" s="119"/>
      <c r="K159" s="121"/>
      <c r="L159" s="113"/>
      <c r="M159" s="56"/>
      <c r="N159" s="56"/>
      <c r="O159" s="60"/>
      <c r="P159" s="56"/>
      <c r="Q159" s="56"/>
      <c r="R159" s="56"/>
      <c r="S159" s="119"/>
      <c r="T159" s="119"/>
      <c r="U159" s="119"/>
      <c r="V159" s="119"/>
      <c r="W159" s="107"/>
      <c r="X159" s="105"/>
      <c r="Y159" s="109">
        <f t="shared" ref="Y159" si="170">SQRT((B159-B160)^2+(C159-C160)^2)</f>
        <v>109.42145397041605</v>
      </c>
      <c r="Z159" s="68">
        <f t="shared" si="161"/>
        <v>-79.941999999999098</v>
      </c>
      <c r="AA159" s="1">
        <f t="shared" si="161"/>
        <v>74.715000000000146</v>
      </c>
      <c r="AB159" s="10">
        <f t="shared" si="162"/>
        <v>0.93461509594457215</v>
      </c>
      <c r="AC159" s="1">
        <f t="shared" si="163"/>
        <v>0.75161365211613296</v>
      </c>
      <c r="AD159" s="1">
        <f t="shared" si="164"/>
        <v>43</v>
      </c>
      <c r="AE159" s="69">
        <f t="shared" si="165"/>
        <v>3.8574054401108526</v>
      </c>
      <c r="AF159" s="71" t="str">
        <f t="shared" si="151"/>
        <v>ЮВ</v>
      </c>
      <c r="AG159" s="1">
        <f t="shared" si="152"/>
        <v>2.3899790014736602</v>
      </c>
      <c r="AH159" s="72">
        <f t="shared" si="166"/>
        <v>136</v>
      </c>
      <c r="AI159" s="73">
        <f t="shared" si="167"/>
        <v>56.142594559888721</v>
      </c>
      <c r="AJ159" s="1">
        <f>((1+COS(2*(AH159)))/2)*Y159</f>
        <v>41.056608679575454</v>
      </c>
      <c r="AK159" s="111"/>
      <c r="AL159" s="113"/>
    </row>
    <row r="160" spans="1:38" x14ac:dyDescent="0.3">
      <c r="A160" s="9" t="s">
        <v>26</v>
      </c>
      <c r="B160" s="1">
        <v>24279.005000000001</v>
      </c>
      <c r="C160" s="10">
        <v>11541.556</v>
      </c>
      <c r="D160" s="99"/>
      <c r="E160" s="101"/>
      <c r="F160" s="103"/>
      <c r="G160" s="116"/>
      <c r="H160" s="1" t="s">
        <v>188</v>
      </c>
      <c r="I160" s="2">
        <v>69.343999999999994</v>
      </c>
      <c r="J160" s="119"/>
      <c r="K160" s="121"/>
      <c r="L160" s="113"/>
      <c r="M160" s="56"/>
      <c r="N160" s="56"/>
      <c r="O160" s="60"/>
      <c r="P160" s="56"/>
      <c r="Q160" s="56"/>
      <c r="R160" s="56"/>
      <c r="S160" s="119"/>
      <c r="T160" s="119"/>
      <c r="U160" s="119"/>
      <c r="V160" s="119"/>
      <c r="W160" s="107"/>
      <c r="X160" s="127">
        <f t="shared" si="160"/>
        <v>140.97645286004416</v>
      </c>
      <c r="Y160" s="109"/>
      <c r="Z160" s="68">
        <f t="shared" si="161"/>
        <v>-63.994000000002416</v>
      </c>
      <c r="AA160" s="1">
        <f t="shared" si="161"/>
        <v>125.61499999999978</v>
      </c>
      <c r="AB160" s="10">
        <f t="shared" si="162"/>
        <v>1.9629183985997913</v>
      </c>
      <c r="AC160" s="1">
        <f t="shared" si="163"/>
        <v>1.0996208798909615</v>
      </c>
      <c r="AD160" s="1">
        <f t="shared" si="164"/>
        <v>63</v>
      </c>
      <c r="AE160" s="69">
        <f t="shared" si="165"/>
        <v>0.21812893284646862</v>
      </c>
      <c r="AF160" s="71" t="str">
        <f t="shared" si="151"/>
        <v>ЮВ</v>
      </c>
      <c r="AG160" s="1">
        <f t="shared" si="152"/>
        <v>2.0419717736988314</v>
      </c>
      <c r="AH160" s="72">
        <f t="shared" si="166"/>
        <v>116</v>
      </c>
      <c r="AI160" s="73">
        <f t="shared" si="167"/>
        <v>59.781871067152679</v>
      </c>
      <c r="AJ160" s="1">
        <f>((1+COS(2*(AH160)))/2)*X160</f>
        <v>133.08055697235622</v>
      </c>
      <c r="AK160" s="111"/>
      <c r="AL160" s="113"/>
    </row>
    <row r="161" spans="1:38" ht="15" thickBot="1" x14ac:dyDescent="0.35">
      <c r="A161" s="30" t="s">
        <v>5</v>
      </c>
      <c r="B161" s="31">
        <v>24215.010999999999</v>
      </c>
      <c r="C161" s="37">
        <v>11667.171</v>
      </c>
      <c r="D161" s="99"/>
      <c r="E161" s="101"/>
      <c r="F161" s="103"/>
      <c r="G161" s="129"/>
      <c r="H161" s="26" t="s">
        <v>180</v>
      </c>
      <c r="I161" s="27">
        <v>194.958</v>
      </c>
      <c r="J161" s="123"/>
      <c r="K161" s="122"/>
      <c r="L161" s="113"/>
      <c r="M161" s="56"/>
      <c r="N161" s="56"/>
      <c r="O161" s="60"/>
      <c r="P161" s="56"/>
      <c r="Q161" s="56"/>
      <c r="R161" s="56"/>
      <c r="S161" s="119"/>
      <c r="T161" s="119"/>
      <c r="U161" s="119"/>
      <c r="V161" s="119"/>
      <c r="W161" s="107"/>
      <c r="X161" s="105"/>
      <c r="Y161" s="109">
        <f t="shared" ref="Y161" si="171">SQRT((B161-B162)^2+(C161-C162)^2)</f>
        <v>79.999764705902436</v>
      </c>
      <c r="Z161" s="68">
        <f t="shared" si="161"/>
        <v>-37.646999999997206</v>
      </c>
      <c r="AA161" s="1">
        <f t="shared" si="161"/>
        <v>70.587999999999738</v>
      </c>
      <c r="AB161" s="10">
        <f t="shared" si="162"/>
        <v>1.8749966796824442</v>
      </c>
      <c r="AC161" s="1">
        <f t="shared" si="163"/>
        <v>1.0808382652449173</v>
      </c>
      <c r="AD161" s="1">
        <f t="shared" si="164"/>
        <v>61</v>
      </c>
      <c r="AE161" s="69">
        <f t="shared" si="165"/>
        <v>55.648256086510344</v>
      </c>
      <c r="AF161" s="71" t="str">
        <f t="shared" si="151"/>
        <v>ЮВ</v>
      </c>
      <c r="AG161" s="1">
        <f t="shared" si="152"/>
        <v>2.0607543883448756</v>
      </c>
      <c r="AH161" s="72">
        <f t="shared" si="166"/>
        <v>118</v>
      </c>
      <c r="AI161" s="73">
        <f t="shared" si="167"/>
        <v>4.3517439134888036</v>
      </c>
      <c r="AJ161" s="1">
        <f>((1+COS(2*(AH161)))/2)*Y161</f>
        <v>2.861586600314356</v>
      </c>
      <c r="AK161" s="111"/>
      <c r="AL161" s="113"/>
    </row>
    <row r="162" spans="1:38" x14ac:dyDescent="0.3">
      <c r="A162" s="30" t="s">
        <v>6</v>
      </c>
      <c r="B162" s="31">
        <v>24177.364000000001</v>
      </c>
      <c r="C162" s="37">
        <v>11737.759</v>
      </c>
      <c r="D162" s="99"/>
      <c r="E162" s="101"/>
      <c r="F162" s="103"/>
      <c r="G162" s="133" t="s">
        <v>172</v>
      </c>
      <c r="H162" s="3" t="s">
        <v>181</v>
      </c>
      <c r="I162" s="4">
        <v>320.036</v>
      </c>
      <c r="J162" s="118">
        <f>SUM(I162:I168)</f>
        <v>1587.7280000000001</v>
      </c>
      <c r="K162" s="120">
        <f>J162^2</f>
        <v>2520880.2019840004</v>
      </c>
      <c r="L162" s="113"/>
      <c r="M162" s="56"/>
      <c r="N162" s="56"/>
      <c r="O162" s="60"/>
      <c r="P162" s="56"/>
      <c r="Q162" s="56"/>
      <c r="R162" s="56"/>
      <c r="S162" s="119"/>
      <c r="T162" s="119"/>
      <c r="U162" s="119"/>
      <c r="V162" s="119"/>
      <c r="W162" s="107"/>
      <c r="X162" s="127">
        <f t="shared" si="160"/>
        <v>80.673689124769353</v>
      </c>
      <c r="Y162" s="109"/>
      <c r="Z162" s="68">
        <f t="shared" si="161"/>
        <v>-35.605999999999767</v>
      </c>
      <c r="AA162" s="1">
        <f t="shared" si="161"/>
        <v>72.390999999999622</v>
      </c>
      <c r="AB162" s="10">
        <f t="shared" si="162"/>
        <v>2.033112396787061</v>
      </c>
      <c r="AC162" s="1">
        <f t="shared" si="163"/>
        <v>1.113684536208851</v>
      </c>
      <c r="AD162" s="1">
        <f t="shared" si="164"/>
        <v>63</v>
      </c>
      <c r="AE162" s="69">
        <f t="shared" si="165"/>
        <v>48.565418025100229</v>
      </c>
      <c r="AF162" s="71" t="str">
        <f t="shared" si="151"/>
        <v>ЮВ</v>
      </c>
      <c r="AG162" s="1">
        <f t="shared" si="152"/>
        <v>2.0279081173809423</v>
      </c>
      <c r="AH162" s="72">
        <f t="shared" si="166"/>
        <v>116</v>
      </c>
      <c r="AI162" s="73">
        <f t="shared" si="167"/>
        <v>11.434581974900198</v>
      </c>
      <c r="AJ162" s="1">
        <f>((1+COS(2*(AH162)))/2)*X162</f>
        <v>76.155267521146925</v>
      </c>
      <c r="AK162" s="111"/>
      <c r="AL162" s="113"/>
    </row>
    <row r="163" spans="1:38" x14ac:dyDescent="0.3">
      <c r="A163" s="9" t="s">
        <v>27</v>
      </c>
      <c r="B163" s="1">
        <v>24141.758000000002</v>
      </c>
      <c r="C163" s="10">
        <v>11810.15</v>
      </c>
      <c r="D163" s="99" t="s">
        <v>17</v>
      </c>
      <c r="E163" s="101">
        <f>AVERAGE(B161:B169)</f>
        <v>24140.224555555556</v>
      </c>
      <c r="F163" s="103">
        <f>AVERAGE(C161:C169)</f>
        <v>12057.791666666668</v>
      </c>
      <c r="G163" s="116"/>
      <c r="H163" s="1" t="s">
        <v>182</v>
      </c>
      <c r="I163" s="2">
        <v>247.642</v>
      </c>
      <c r="J163" s="119"/>
      <c r="K163" s="121"/>
      <c r="L163" s="113"/>
      <c r="M163" s="56"/>
      <c r="N163" s="56"/>
      <c r="O163" s="60"/>
      <c r="P163" s="56"/>
      <c r="Q163" s="56"/>
      <c r="R163" s="56"/>
      <c r="S163" s="119"/>
      <c r="T163" s="119"/>
      <c r="U163" s="119"/>
      <c r="V163" s="119"/>
      <c r="W163" s="107"/>
      <c r="X163" s="105"/>
      <c r="Y163" s="109">
        <f t="shared" ref="Y163" si="172">SQRT((B163-B164)^2+(C163-C164)^2)</f>
        <v>43.178964380818336</v>
      </c>
      <c r="Z163" s="68">
        <f t="shared" si="161"/>
        <v>-20.359000000000378</v>
      </c>
      <c r="AA163" s="1">
        <f t="shared" si="161"/>
        <v>38.07799999999952</v>
      </c>
      <c r="AB163" s="10">
        <f t="shared" si="162"/>
        <v>1.8703276192346781</v>
      </c>
      <c r="AC163" s="1">
        <f t="shared" si="163"/>
        <v>1.0798022754935976</v>
      </c>
      <c r="AD163" s="1">
        <f t="shared" si="164"/>
        <v>61</v>
      </c>
      <c r="AE163" s="69">
        <f t="shared" si="165"/>
        <v>52.086785664344575</v>
      </c>
      <c r="AF163" s="71" t="str">
        <f t="shared" si="151"/>
        <v>ЮВ</v>
      </c>
      <c r="AG163" s="1">
        <f t="shared" si="152"/>
        <v>2.0617903780961955</v>
      </c>
      <c r="AH163" s="72">
        <f t="shared" si="166"/>
        <v>118</v>
      </c>
      <c r="AI163" s="73">
        <f t="shared" si="167"/>
        <v>7.9132143356554252</v>
      </c>
      <c r="AJ163" s="1">
        <f>((1+COS(2*(AH163)))/2)*Y163</f>
        <v>1.544508866267756</v>
      </c>
      <c r="AK163" s="111"/>
      <c r="AL163" s="113"/>
    </row>
    <row r="164" spans="1:38" x14ac:dyDescent="0.3">
      <c r="A164" s="9" t="s">
        <v>28</v>
      </c>
      <c r="B164" s="1">
        <v>24121.399000000001</v>
      </c>
      <c r="C164" s="10">
        <v>11848.227999999999</v>
      </c>
      <c r="D164" s="99"/>
      <c r="E164" s="101"/>
      <c r="F164" s="103"/>
      <c r="G164" s="116"/>
      <c r="H164" s="1" t="s">
        <v>183</v>
      </c>
      <c r="I164" s="2">
        <v>209.565</v>
      </c>
      <c r="J164" s="119"/>
      <c r="K164" s="121"/>
      <c r="L164" s="113"/>
      <c r="M164" s="56"/>
      <c r="N164" s="56"/>
      <c r="O164" s="60"/>
      <c r="P164" s="56"/>
      <c r="Q164" s="56"/>
      <c r="R164" s="56"/>
      <c r="S164" s="119"/>
      <c r="T164" s="119"/>
      <c r="U164" s="119"/>
      <c r="V164" s="119"/>
      <c r="W164" s="107"/>
      <c r="X164" s="127">
        <f t="shared" si="160"/>
        <v>146.48300000341354</v>
      </c>
      <c r="Y164" s="109"/>
      <c r="Z164" s="68">
        <f t="shared" si="161"/>
        <v>1.0000000002037268E-3</v>
      </c>
      <c r="AA164" s="1">
        <f t="shared" si="161"/>
        <v>146.48300000000017</v>
      </c>
      <c r="AB164" s="10">
        <f t="shared" si="162"/>
        <v>146482.99997015766</v>
      </c>
      <c r="AC164" s="1">
        <f t="shared" si="163"/>
        <v>1.5707895000641485</v>
      </c>
      <c r="AD164" s="1">
        <f t="shared" si="164"/>
        <v>89</v>
      </c>
      <c r="AE164" s="69">
        <f t="shared" si="165"/>
        <v>59.976531428415569</v>
      </c>
      <c r="AF164" s="71" t="str">
        <f t="shared" si="151"/>
        <v>СВ</v>
      </c>
      <c r="AG164" s="1">
        <f t="shared" si="152"/>
        <v>1.5707895000641485</v>
      </c>
      <c r="AH164" s="72">
        <f t="shared" si="166"/>
        <v>89</v>
      </c>
      <c r="AI164" s="73">
        <f t="shared" si="167"/>
        <v>59.976531428415569</v>
      </c>
      <c r="AJ164" s="1">
        <f>((1+COS(2*(AH164)))/2)*X164</f>
        <v>38.126685648059421</v>
      </c>
      <c r="AK164" s="111"/>
      <c r="AL164" s="113"/>
    </row>
    <row r="165" spans="1:38" ht="15" thickBot="1" x14ac:dyDescent="0.35">
      <c r="A165" s="9" t="s">
        <v>29</v>
      </c>
      <c r="B165" s="1">
        <v>24121.4</v>
      </c>
      <c r="C165" s="10">
        <v>11994.710999999999</v>
      </c>
      <c r="D165" s="99"/>
      <c r="E165" s="101"/>
      <c r="F165" s="103"/>
      <c r="G165" s="116"/>
      <c r="H165" s="1" t="s">
        <v>184</v>
      </c>
      <c r="I165" s="2">
        <v>63.082999999999998</v>
      </c>
      <c r="J165" s="119"/>
      <c r="K165" s="121"/>
      <c r="L165" s="113"/>
      <c r="M165" s="56"/>
      <c r="N165" s="56"/>
      <c r="O165" s="60"/>
      <c r="P165" s="56"/>
      <c r="Q165" s="56"/>
      <c r="R165" s="56"/>
      <c r="S165" s="123"/>
      <c r="T165" s="123"/>
      <c r="U165" s="123"/>
      <c r="V165" s="119"/>
      <c r="W165" s="107"/>
      <c r="X165" s="105"/>
      <c r="Y165" s="109">
        <f t="shared" ref="Y165" si="173">SQRT((B165-B166)^2+(C165-C166)^2)</f>
        <v>153.00300094442653</v>
      </c>
      <c r="Z165" s="68">
        <f t="shared" si="161"/>
        <v>-1.6999999999825377E-2</v>
      </c>
      <c r="AA165" s="1">
        <f t="shared" si="161"/>
        <v>153.00300000000061</v>
      </c>
      <c r="AB165" s="10">
        <f t="shared" si="162"/>
        <v>9000.1764706807207</v>
      </c>
      <c r="AC165" s="1">
        <f t="shared" si="163"/>
        <v>1.5706852178628503</v>
      </c>
      <c r="AD165" s="1">
        <f t="shared" si="164"/>
        <v>89</v>
      </c>
      <c r="AE165" s="69">
        <f t="shared" si="165"/>
        <v>59.61803562765283</v>
      </c>
      <c r="AF165" s="71" t="str">
        <f t="shared" si="151"/>
        <v>ЮВ</v>
      </c>
      <c r="AG165" s="1">
        <f t="shared" si="152"/>
        <v>1.5709074357269428</v>
      </c>
      <c r="AH165" s="72">
        <f t="shared" si="166"/>
        <v>90</v>
      </c>
      <c r="AI165" s="73">
        <f t="shared" si="167"/>
        <v>0.38196437234716996</v>
      </c>
      <c r="AJ165" s="1">
        <f>((1+COS(2*(AH165)))/2)*Y165</f>
        <v>30.718407216582751</v>
      </c>
      <c r="AK165" s="111"/>
      <c r="AL165" s="113"/>
    </row>
    <row r="166" spans="1:38" x14ac:dyDescent="0.3">
      <c r="A166" s="9" t="s">
        <v>30</v>
      </c>
      <c r="B166" s="1">
        <v>24121.383000000002</v>
      </c>
      <c r="C166" s="10">
        <v>12147.714</v>
      </c>
      <c r="D166" s="99"/>
      <c r="E166" s="101"/>
      <c r="F166" s="103"/>
      <c r="G166" s="116"/>
      <c r="H166" s="1" t="s">
        <v>185</v>
      </c>
      <c r="I166" s="2">
        <v>89.927999999999997</v>
      </c>
      <c r="J166" s="119"/>
      <c r="K166" s="121"/>
      <c r="L166" s="113"/>
      <c r="M166" s="56"/>
      <c r="N166" s="56"/>
      <c r="O166" s="60"/>
      <c r="P166" s="56"/>
      <c r="Q166" s="56"/>
      <c r="R166" s="56"/>
      <c r="S166" s="118">
        <v>704.38099999999997</v>
      </c>
      <c r="T166" s="118">
        <f>S166^2</f>
        <v>496152.59316099994</v>
      </c>
      <c r="U166" s="118">
        <f>G5*T166</f>
        <v>446537333.84489995</v>
      </c>
      <c r="V166" s="119"/>
      <c r="W166" s="107"/>
      <c r="X166" s="127">
        <f t="shared" si="160"/>
        <v>163.94900010979077</v>
      </c>
      <c r="Y166" s="109"/>
      <c r="Z166" s="68">
        <f t="shared" si="161"/>
        <v>-6.0000000012223609E-3</v>
      </c>
      <c r="AA166" s="1">
        <f t="shared" si="161"/>
        <v>163.94900000000052</v>
      </c>
      <c r="AB166" s="10">
        <f t="shared" si="162"/>
        <v>27324.833327766621</v>
      </c>
      <c r="AC166" s="1">
        <f t="shared" si="163"/>
        <v>1.5707597300483562</v>
      </c>
      <c r="AD166" s="1">
        <f t="shared" si="164"/>
        <v>89</v>
      </c>
      <c r="AE166" s="69">
        <f t="shared" si="165"/>
        <v>59.874189652759924</v>
      </c>
      <c r="AF166" s="71" t="str">
        <f t="shared" si="151"/>
        <v>ЮВ</v>
      </c>
      <c r="AG166" s="1">
        <f t="shared" si="152"/>
        <v>1.5708329235414369</v>
      </c>
      <c r="AH166" s="72">
        <f t="shared" si="166"/>
        <v>90</v>
      </c>
      <c r="AI166" s="73">
        <f t="shared" si="167"/>
        <v>0.12581034724007623</v>
      </c>
      <c r="AJ166" s="1">
        <f>((1+COS(2*(AH166)))/2)*X166</f>
        <v>32.9160350910593</v>
      </c>
      <c r="AK166" s="111"/>
      <c r="AL166" s="113"/>
    </row>
    <row r="167" spans="1:38" x14ac:dyDescent="0.3">
      <c r="A167" s="9" t="s">
        <v>31</v>
      </c>
      <c r="B167" s="1">
        <v>24121.377</v>
      </c>
      <c r="C167" s="10">
        <v>12311.663</v>
      </c>
      <c r="D167" s="99"/>
      <c r="E167" s="101"/>
      <c r="F167" s="103"/>
      <c r="G167" s="116"/>
      <c r="H167" s="1" t="s">
        <v>186</v>
      </c>
      <c r="I167" s="2">
        <v>253.90100000000001</v>
      </c>
      <c r="J167" s="119"/>
      <c r="K167" s="121"/>
      <c r="L167" s="113"/>
      <c r="M167" s="56"/>
      <c r="N167" s="56"/>
      <c r="O167" s="60"/>
      <c r="P167" s="56"/>
      <c r="Q167" s="56"/>
      <c r="R167" s="56"/>
      <c r="S167" s="119"/>
      <c r="T167" s="119"/>
      <c r="U167" s="119"/>
      <c r="V167" s="119"/>
      <c r="W167" s="107"/>
      <c r="X167" s="105"/>
      <c r="Y167" s="109">
        <f t="shared" ref="Y167" si="174">SQRT((B167-B168)^2+(C167-C168)^2)</f>
        <v>149.70200016365777</v>
      </c>
      <c r="Z167" s="68">
        <f t="shared" si="161"/>
        <v>6.9999999977881089E-3</v>
      </c>
      <c r="AA167" s="1">
        <f t="shared" si="161"/>
        <v>149.70199999999932</v>
      </c>
      <c r="AB167" s="10">
        <f t="shared" si="162"/>
        <v>21386.000006757546</v>
      </c>
      <c r="AC167" s="1">
        <f t="shared" si="163"/>
        <v>1.5707495672326151</v>
      </c>
      <c r="AD167" s="1">
        <f t="shared" si="164"/>
        <v>89</v>
      </c>
      <c r="AE167" s="69">
        <f t="shared" si="165"/>
        <v>59.839252465763479</v>
      </c>
      <c r="AF167" s="71" t="str">
        <f t="shared" si="151"/>
        <v>СВ</v>
      </c>
      <c r="AG167" s="1">
        <f t="shared" si="152"/>
        <v>1.5707495672326151</v>
      </c>
      <c r="AH167" s="72">
        <f t="shared" si="166"/>
        <v>89</v>
      </c>
      <c r="AI167" s="73">
        <f t="shared" si="167"/>
        <v>59.839252465763479</v>
      </c>
      <c r="AJ167" s="1">
        <f>((1+COS(2*(AH167)))/2)*Y167</f>
        <v>38.964528996487736</v>
      </c>
      <c r="AK167" s="111"/>
      <c r="AL167" s="113"/>
    </row>
    <row r="168" spans="1:38" ht="16.8" thickBot="1" x14ac:dyDescent="0.35">
      <c r="A168" s="30" t="s">
        <v>7</v>
      </c>
      <c r="B168" s="31">
        <v>24121.383999999998</v>
      </c>
      <c r="C168" s="37">
        <v>12461.365</v>
      </c>
      <c r="D168" s="99"/>
      <c r="E168" s="101"/>
      <c r="F168" s="103"/>
      <c r="G168" s="129"/>
      <c r="H168" s="26" t="s">
        <v>187</v>
      </c>
      <c r="I168" s="27">
        <v>403.57299999999998</v>
      </c>
      <c r="J168" s="123"/>
      <c r="K168" s="122"/>
      <c r="L168" s="114"/>
      <c r="M168" s="56"/>
      <c r="N168" s="56"/>
      <c r="O168" s="61" t="s">
        <v>215</v>
      </c>
      <c r="P168" s="48" t="s">
        <v>216</v>
      </c>
      <c r="Q168" s="51" t="s">
        <v>217</v>
      </c>
      <c r="R168" s="76" t="s">
        <v>198</v>
      </c>
      <c r="S168" s="119"/>
      <c r="T168" s="119"/>
      <c r="U168" s="119"/>
      <c r="V168" s="119"/>
      <c r="W168" s="107"/>
      <c r="X168" s="127">
        <f t="shared" si="160"/>
        <v>80.000204512238383</v>
      </c>
      <c r="Y168" s="109"/>
      <c r="Z168" s="68">
        <f t="shared" si="161"/>
        <v>-0.4389999999984866</v>
      </c>
      <c r="AA168" s="1">
        <f t="shared" si="161"/>
        <v>79.998999999999796</v>
      </c>
      <c r="AB168" s="10">
        <f t="shared" si="162"/>
        <v>182.23006833775759</v>
      </c>
      <c r="AC168" s="1">
        <f t="shared" si="163"/>
        <v>1.5653088132824455</v>
      </c>
      <c r="AD168" s="1">
        <f t="shared" si="164"/>
        <v>89</v>
      </c>
      <c r="AE168" s="69">
        <f t="shared" si="165"/>
        <v>41.135318142932817</v>
      </c>
      <c r="AF168" s="71" t="str">
        <f t="shared" si="151"/>
        <v>ЮВ</v>
      </c>
      <c r="AG168" s="1">
        <f t="shared" si="152"/>
        <v>1.5762838403073476</v>
      </c>
      <c r="AH168" s="72">
        <f t="shared" si="166"/>
        <v>90</v>
      </c>
      <c r="AI168" s="73">
        <f t="shared" si="167"/>
        <v>18.864681857067183</v>
      </c>
      <c r="AJ168" s="1">
        <f>((1+COS(2*(AH168)))/2)*X168</f>
        <v>16.061638297600716</v>
      </c>
      <c r="AK168" s="111"/>
      <c r="AL168" s="113"/>
    </row>
    <row r="169" spans="1:38" ht="33" customHeight="1" thickBot="1" x14ac:dyDescent="0.35">
      <c r="A169" s="32" t="s">
        <v>8</v>
      </c>
      <c r="B169" s="31">
        <v>24120.945</v>
      </c>
      <c r="C169" s="37">
        <v>12541.364</v>
      </c>
      <c r="D169" s="124"/>
      <c r="E169" s="125"/>
      <c r="F169" s="126"/>
      <c r="G169" s="56"/>
      <c r="H169" s="56"/>
      <c r="I169" s="56"/>
      <c r="J169" s="56"/>
      <c r="K169" s="56"/>
      <c r="L169" s="56"/>
      <c r="M169" s="115" t="s">
        <v>202</v>
      </c>
      <c r="N169" s="54" t="s">
        <v>212</v>
      </c>
      <c r="O169" s="62">
        <v>236.268</v>
      </c>
      <c r="P169" s="118">
        <f>SUM(O169:O171)</f>
        <v>385.20499999999998</v>
      </c>
      <c r="Q169" s="118">
        <f>P169^2</f>
        <v>148382.89202499998</v>
      </c>
      <c r="R169" s="106">
        <f>(1/(2*E5))*(C5*Q169)</f>
        <v>6.9752976532176452E-4</v>
      </c>
      <c r="S169" s="119"/>
      <c r="T169" s="119"/>
      <c r="U169" s="119"/>
      <c r="V169" s="119"/>
      <c r="W169" s="107"/>
      <c r="X169" s="105"/>
      <c r="Y169" s="109">
        <f t="shared" ref="Y169" si="175">SQRT((B169-B170)^2+(C169-C170)^2)</f>
        <v>102.87250256992894</v>
      </c>
      <c r="Z169" s="68">
        <f t="shared" si="161"/>
        <v>-1.0639999999984866</v>
      </c>
      <c r="AA169" s="1">
        <f t="shared" si="161"/>
        <v>102.86700000000019</v>
      </c>
      <c r="AB169" s="10">
        <f t="shared" si="162"/>
        <v>96.67951127833318</v>
      </c>
      <c r="AC169" s="1">
        <f t="shared" si="163"/>
        <v>1.5604532424461466</v>
      </c>
      <c r="AD169" s="1">
        <f t="shared" si="164"/>
        <v>89</v>
      </c>
      <c r="AE169" s="69">
        <f t="shared" si="165"/>
        <v>24.443095180128864</v>
      </c>
      <c r="AF169" s="71" t="str">
        <f t="shared" si="151"/>
        <v>ЮВ</v>
      </c>
      <c r="AG169" s="1">
        <f t="shared" si="152"/>
        <v>1.5811394111436465</v>
      </c>
      <c r="AH169" s="72">
        <f t="shared" si="166"/>
        <v>90</v>
      </c>
      <c r="AI169" s="73">
        <f t="shared" si="167"/>
        <v>35.556904819871136</v>
      </c>
      <c r="AJ169" s="1">
        <f>((1+COS(2*(AH169)))/2)*Y169</f>
        <v>20.65370878888729</v>
      </c>
      <c r="AK169" s="111"/>
      <c r="AL169" s="113"/>
    </row>
    <row r="170" spans="1:38" ht="33" customHeight="1" thickBot="1" x14ac:dyDescent="0.35">
      <c r="A170" s="9" t="s">
        <v>32</v>
      </c>
      <c r="B170" s="1">
        <v>24119.881000000001</v>
      </c>
      <c r="C170" s="2">
        <v>12644.231</v>
      </c>
      <c r="D170" s="56"/>
      <c r="E170" s="56"/>
      <c r="F170" s="56"/>
      <c r="G170" s="56"/>
      <c r="H170" s="56"/>
      <c r="I170" s="56"/>
      <c r="J170" s="56"/>
      <c r="K170" s="56"/>
      <c r="L170" s="56"/>
      <c r="M170" s="116"/>
      <c r="N170" s="53" t="s">
        <v>213</v>
      </c>
      <c r="O170" s="88">
        <v>133.47499999999999</v>
      </c>
      <c r="P170" s="119"/>
      <c r="Q170" s="119"/>
      <c r="R170" s="107"/>
      <c r="S170" s="119"/>
      <c r="T170" s="119"/>
      <c r="U170" s="119"/>
      <c r="V170" s="119"/>
      <c r="W170" s="107"/>
      <c r="X170" s="105">
        <f t="shared" si="160"/>
        <v>117.9467992783196</v>
      </c>
      <c r="Y170" s="109"/>
      <c r="Z170" s="68">
        <f t="shared" si="161"/>
        <v>1.0639999999984866</v>
      </c>
      <c r="AA170" s="1">
        <f t="shared" si="161"/>
        <v>117.94200000000092</v>
      </c>
      <c r="AB170" s="10">
        <f t="shared" si="162"/>
        <v>110.84774436106078</v>
      </c>
      <c r="AC170" s="1">
        <f t="shared" si="163"/>
        <v>1.5617751881272961</v>
      </c>
      <c r="AD170" s="1">
        <f t="shared" si="164"/>
        <v>89</v>
      </c>
      <c r="AE170" s="69">
        <f t="shared" si="165"/>
        <v>28.987609676653108</v>
      </c>
      <c r="AF170" s="71" t="str">
        <f t="shared" si="151"/>
        <v>СВ</v>
      </c>
      <c r="AG170" s="1">
        <f t="shared" si="152"/>
        <v>1.5617751881272961</v>
      </c>
      <c r="AH170" s="72">
        <f t="shared" si="166"/>
        <v>89</v>
      </c>
      <c r="AI170" s="73">
        <f t="shared" si="167"/>
        <v>28.987609676653108</v>
      </c>
      <c r="AJ170" s="1">
        <f>((1+COS(2*(AH170)))/2)*X170</f>
        <v>30.699265711205125</v>
      </c>
      <c r="AK170" s="111"/>
      <c r="AL170" s="114"/>
    </row>
    <row r="171" spans="1:38" ht="33" customHeight="1" thickBot="1" x14ac:dyDescent="0.35">
      <c r="A171" s="25" t="s">
        <v>211</v>
      </c>
      <c r="B171" s="26">
        <v>24120.945</v>
      </c>
      <c r="C171" s="27">
        <v>12762.173000000001</v>
      </c>
      <c r="D171" s="56"/>
      <c r="E171" s="56"/>
      <c r="F171" s="56"/>
      <c r="G171" s="56"/>
      <c r="H171" s="56"/>
      <c r="I171" s="56"/>
      <c r="J171" s="56"/>
      <c r="K171" s="56"/>
      <c r="L171" s="56"/>
      <c r="M171" s="129"/>
      <c r="N171" s="55" t="s">
        <v>214</v>
      </c>
      <c r="O171" s="63">
        <v>15.462</v>
      </c>
      <c r="P171" s="123"/>
      <c r="Q171" s="123"/>
      <c r="R171" s="108"/>
      <c r="S171" s="123"/>
      <c r="T171" s="123"/>
      <c r="U171" s="123"/>
      <c r="V171" s="123"/>
      <c r="W171" s="108"/>
      <c r="X171" s="132"/>
      <c r="Y171" s="64"/>
    </row>
    <row r="172" spans="1:38" x14ac:dyDescent="0.3">
      <c r="W172" t="s">
        <v>249</v>
      </c>
      <c r="X172" s="89">
        <f>SUM(X152:Y171)</f>
        <v>1667.204773757288</v>
      </c>
    </row>
    <row r="176" spans="1:38" ht="25.2" x14ac:dyDescent="0.55000000000000004">
      <c r="M176" s="79" t="s">
        <v>250</v>
      </c>
      <c r="N176" s="80">
        <f>L11+R138+W11+AL10+L153+R169+W153+AL152+R176</f>
        <v>0.58299777511746953</v>
      </c>
      <c r="R176" s="91">
        <f>(45*100)/206265</f>
        <v>2.1816595156715874E-2</v>
      </c>
    </row>
    <row r="178" spans="3:15" ht="24.6" x14ac:dyDescent="0.55000000000000004">
      <c r="M178" s="79" t="s">
        <v>251</v>
      </c>
      <c r="N178" s="90">
        <f>SQRT(N176)</f>
        <v>0.76354290980760831</v>
      </c>
    </row>
    <row r="180" spans="3:15" ht="21" x14ac:dyDescent="0.4">
      <c r="M180" s="79" t="s">
        <v>252</v>
      </c>
      <c r="N180" s="90">
        <f>N178*3</f>
        <v>2.2906287294228251</v>
      </c>
    </row>
    <row r="182" spans="3:15" ht="21" x14ac:dyDescent="0.4">
      <c r="C182" s="85" t="s">
        <v>241</v>
      </c>
    </row>
    <row r="184" spans="3:15" ht="24.6" x14ac:dyDescent="0.55000000000000004">
      <c r="C184" s="82" t="s">
        <v>244</v>
      </c>
      <c r="D184" s="83">
        <f>(10+(0.2*317.429))/(2*(SQRT(2)))</f>
        <v>25.981153750459196</v>
      </c>
      <c r="E184" t="s">
        <v>242</v>
      </c>
    </row>
    <row r="186" spans="3:15" ht="21" x14ac:dyDescent="0.4">
      <c r="C186" s="85" t="s">
        <v>243</v>
      </c>
    </row>
    <row r="188" spans="3:15" ht="24.6" x14ac:dyDescent="0.55000000000000004">
      <c r="C188" s="82" t="s">
        <v>245</v>
      </c>
      <c r="D188" s="84">
        <f>25*(SQRT(SUM(X10:Y145)))</f>
        <v>2600.9124939348476</v>
      </c>
      <c r="E188" t="s">
        <v>242</v>
      </c>
    </row>
    <row r="190" spans="3:15" ht="24.6" x14ac:dyDescent="0.55000000000000004">
      <c r="C190" s="82" t="s">
        <v>246</v>
      </c>
      <c r="D190" s="84">
        <f>25*(SQRT(SUM(X152:Y171)))</f>
        <v>1020.7854738378211</v>
      </c>
      <c r="E190" t="s">
        <v>242</v>
      </c>
      <c r="O190" s="81"/>
    </row>
    <row r="193" spans="3:5" ht="21" x14ac:dyDescent="0.4">
      <c r="C193" s="85" t="s">
        <v>247</v>
      </c>
    </row>
    <row r="195" spans="3:5" ht="25.2" x14ac:dyDescent="0.55000000000000004">
      <c r="C195" s="82" t="s">
        <v>248</v>
      </c>
      <c r="D195" s="84">
        <f>(1/2)*((D184^2)+(D188^2)+(D190^2))</f>
        <v>3903711.9025274492</v>
      </c>
      <c r="E195" t="s">
        <v>242</v>
      </c>
    </row>
  </sheetData>
  <mergeCells count="281">
    <mergeCell ref="X168:X169"/>
    <mergeCell ref="Y161:Y162"/>
    <mergeCell ref="AK152:AK170"/>
    <mergeCell ref="AL152:AL170"/>
    <mergeCell ref="G162:G168"/>
    <mergeCell ref="J162:J168"/>
    <mergeCell ref="K162:K168"/>
    <mergeCell ref="X162:X163"/>
    <mergeCell ref="D163:D169"/>
    <mergeCell ref="E163:E169"/>
    <mergeCell ref="F163:F169"/>
    <mergeCell ref="M169:M171"/>
    <mergeCell ref="P169:P171"/>
    <mergeCell ref="Q169:Q171"/>
    <mergeCell ref="R169:R171"/>
    <mergeCell ref="Y169:Y170"/>
    <mergeCell ref="X170:X171"/>
    <mergeCell ref="Y163:Y164"/>
    <mergeCell ref="X164:X165"/>
    <mergeCell ref="Y165:Y166"/>
    <mergeCell ref="S166:S171"/>
    <mergeCell ref="T166:T171"/>
    <mergeCell ref="U166:U171"/>
    <mergeCell ref="X166:X167"/>
    <mergeCell ref="Y167:Y168"/>
    <mergeCell ref="AG150:AI150"/>
    <mergeCell ref="X151:Y151"/>
    <mergeCell ref="D152:D162"/>
    <mergeCell ref="E152:E162"/>
    <mergeCell ref="F152:F162"/>
    <mergeCell ref="X152:X153"/>
    <mergeCell ref="W153:W171"/>
    <mergeCell ref="Y153:Y154"/>
    <mergeCell ref="X154:X155"/>
    <mergeCell ref="G153:G161"/>
    <mergeCell ref="J153:J161"/>
    <mergeCell ref="K153:K161"/>
    <mergeCell ref="L153:L168"/>
    <mergeCell ref="S153:S165"/>
    <mergeCell ref="T153:T165"/>
    <mergeCell ref="U153:U165"/>
    <mergeCell ref="V153:V171"/>
    <mergeCell ref="AC150:AE150"/>
    <mergeCell ref="Y155:Y156"/>
    <mergeCell ref="X156:X157"/>
    <mergeCell ref="Y157:Y158"/>
    <mergeCell ref="X158:X159"/>
    <mergeCell ref="Y159:Y160"/>
    <mergeCell ref="X160:X161"/>
    <mergeCell ref="A150:C150"/>
    <mergeCell ref="D150:F150"/>
    <mergeCell ref="X134:X135"/>
    <mergeCell ref="Y135:Y136"/>
    <mergeCell ref="X136:X137"/>
    <mergeCell ref="Y137:Y138"/>
    <mergeCell ref="M138:M145"/>
    <mergeCell ref="P138:P145"/>
    <mergeCell ref="Q138:Q145"/>
    <mergeCell ref="R138:R145"/>
    <mergeCell ref="X138:X139"/>
    <mergeCell ref="Y139:Y140"/>
    <mergeCell ref="S132:S145"/>
    <mergeCell ref="T132:T145"/>
    <mergeCell ref="U132:U145"/>
    <mergeCell ref="X132:X133"/>
    <mergeCell ref="Y133:Y134"/>
    <mergeCell ref="X140:X141"/>
    <mergeCell ref="Y141:Y142"/>
    <mergeCell ref="X142:X143"/>
    <mergeCell ref="Y143:Y144"/>
    <mergeCell ref="X144:X145"/>
    <mergeCell ref="G124:G137"/>
    <mergeCell ref="J124:J137"/>
    <mergeCell ref="K124:K137"/>
    <mergeCell ref="X124:X125"/>
    <mergeCell ref="D125:D138"/>
    <mergeCell ref="E125:E138"/>
    <mergeCell ref="F125:F138"/>
    <mergeCell ref="Y125:Y126"/>
    <mergeCell ref="X126:X127"/>
    <mergeCell ref="D95:D124"/>
    <mergeCell ref="E95:E124"/>
    <mergeCell ref="F95:F124"/>
    <mergeCell ref="Y95:Y96"/>
    <mergeCell ref="X96:X97"/>
    <mergeCell ref="Y97:Y98"/>
    <mergeCell ref="X98:X99"/>
    <mergeCell ref="Y99:Y100"/>
    <mergeCell ref="X100:X101"/>
    <mergeCell ref="Y101:Y102"/>
    <mergeCell ref="Y127:Y128"/>
    <mergeCell ref="X128:X129"/>
    <mergeCell ref="Y129:Y130"/>
    <mergeCell ref="X130:X131"/>
    <mergeCell ref="Y131:Y132"/>
    <mergeCell ref="S110:S131"/>
    <mergeCell ref="T110:T131"/>
    <mergeCell ref="U110:U131"/>
    <mergeCell ref="X110:X111"/>
    <mergeCell ref="Y111:Y112"/>
    <mergeCell ref="X112:X113"/>
    <mergeCell ref="Y113:Y114"/>
    <mergeCell ref="X114:X115"/>
    <mergeCell ref="Y115:Y116"/>
    <mergeCell ref="X116:X117"/>
    <mergeCell ref="Y117:Y118"/>
    <mergeCell ref="X118:X119"/>
    <mergeCell ref="Y119:Y120"/>
    <mergeCell ref="X120:X121"/>
    <mergeCell ref="Y121:Y122"/>
    <mergeCell ref="X122:X123"/>
    <mergeCell ref="Y123:Y124"/>
    <mergeCell ref="X86:X87"/>
    <mergeCell ref="Y87:Y88"/>
    <mergeCell ref="X88:X89"/>
    <mergeCell ref="Y89:Y90"/>
    <mergeCell ref="X90:X91"/>
    <mergeCell ref="Y91:Y92"/>
    <mergeCell ref="X106:X107"/>
    <mergeCell ref="Y107:Y108"/>
    <mergeCell ref="X108:X109"/>
    <mergeCell ref="Y109:Y110"/>
    <mergeCell ref="Y79:Y80"/>
    <mergeCell ref="X80:X81"/>
    <mergeCell ref="Y81:Y82"/>
    <mergeCell ref="X82:X83"/>
    <mergeCell ref="Y83:Y84"/>
    <mergeCell ref="X84:X85"/>
    <mergeCell ref="G75:G93"/>
    <mergeCell ref="J75:J93"/>
    <mergeCell ref="K75:K93"/>
    <mergeCell ref="Y75:Y76"/>
    <mergeCell ref="X92:X93"/>
    <mergeCell ref="Y93:Y94"/>
    <mergeCell ref="G94:G123"/>
    <mergeCell ref="J94:J123"/>
    <mergeCell ref="K94:K123"/>
    <mergeCell ref="X94:X95"/>
    <mergeCell ref="X102:X103"/>
    <mergeCell ref="Y103:Y104"/>
    <mergeCell ref="X104:X105"/>
    <mergeCell ref="Y105:Y106"/>
    <mergeCell ref="S85:S109"/>
    <mergeCell ref="T85:T109"/>
    <mergeCell ref="U85:U109"/>
    <mergeCell ref="Y85:Y86"/>
    <mergeCell ref="Y67:Y68"/>
    <mergeCell ref="D76:D94"/>
    <mergeCell ref="E76:E94"/>
    <mergeCell ref="F76:F94"/>
    <mergeCell ref="X76:X77"/>
    <mergeCell ref="Y77:Y78"/>
    <mergeCell ref="X78:X79"/>
    <mergeCell ref="X68:X69"/>
    <mergeCell ref="Y69:Y70"/>
    <mergeCell ref="X70:X71"/>
    <mergeCell ref="Y71:Y72"/>
    <mergeCell ref="X72:X73"/>
    <mergeCell ref="Y73:Y74"/>
    <mergeCell ref="X74:X75"/>
    <mergeCell ref="D60:D75"/>
    <mergeCell ref="E60:E75"/>
    <mergeCell ref="F60:F75"/>
    <mergeCell ref="X60:X61"/>
    <mergeCell ref="Y61:Y62"/>
    <mergeCell ref="X62:X63"/>
    <mergeCell ref="Y63:Y64"/>
    <mergeCell ref="X64:X65"/>
    <mergeCell ref="Y65:Y66"/>
    <mergeCell ref="X66:X67"/>
    <mergeCell ref="Y53:Y54"/>
    <mergeCell ref="X54:X55"/>
    <mergeCell ref="S55:S66"/>
    <mergeCell ref="T55:T66"/>
    <mergeCell ref="U55:U66"/>
    <mergeCell ref="Y55:Y56"/>
    <mergeCell ref="U47:U54"/>
    <mergeCell ref="Y47:Y48"/>
    <mergeCell ref="X48:X49"/>
    <mergeCell ref="Y49:Y50"/>
    <mergeCell ref="X50:X51"/>
    <mergeCell ref="Y51:Y52"/>
    <mergeCell ref="X56:X57"/>
    <mergeCell ref="Y57:Y58"/>
    <mergeCell ref="X58:X59"/>
    <mergeCell ref="Y59:Y60"/>
    <mergeCell ref="X46:X47"/>
    <mergeCell ref="S47:S54"/>
    <mergeCell ref="T47:T54"/>
    <mergeCell ref="S39:S46"/>
    <mergeCell ref="T39:T46"/>
    <mergeCell ref="U39:U46"/>
    <mergeCell ref="X42:X43"/>
    <mergeCell ref="Y43:Y44"/>
    <mergeCell ref="D52:D59"/>
    <mergeCell ref="E52:E59"/>
    <mergeCell ref="F52:F59"/>
    <mergeCell ref="X52:X53"/>
    <mergeCell ref="G51:G58"/>
    <mergeCell ref="J51:J58"/>
    <mergeCell ref="K51:K58"/>
    <mergeCell ref="G44:G50"/>
    <mergeCell ref="J44:J50"/>
    <mergeCell ref="K44:K50"/>
    <mergeCell ref="X44:X45"/>
    <mergeCell ref="G59:G74"/>
    <mergeCell ref="J59:J74"/>
    <mergeCell ref="K59:K74"/>
    <mergeCell ref="S67:S84"/>
    <mergeCell ref="T67:T84"/>
    <mergeCell ref="U67:U84"/>
    <mergeCell ref="Y45:Y46"/>
    <mergeCell ref="K33:K43"/>
    <mergeCell ref="Y33:Y34"/>
    <mergeCell ref="D34:D44"/>
    <mergeCell ref="E34:E44"/>
    <mergeCell ref="F34:F44"/>
    <mergeCell ref="X34:X35"/>
    <mergeCell ref="Y35:Y36"/>
    <mergeCell ref="X36:X37"/>
    <mergeCell ref="Y37:Y38"/>
    <mergeCell ref="X38:X39"/>
    <mergeCell ref="S24:S38"/>
    <mergeCell ref="T24:T38"/>
    <mergeCell ref="U24:U38"/>
    <mergeCell ref="G18:G32"/>
    <mergeCell ref="J18:J32"/>
    <mergeCell ref="K18:K32"/>
    <mergeCell ref="D19:D33"/>
    <mergeCell ref="E19:E33"/>
    <mergeCell ref="D45:D51"/>
    <mergeCell ref="E45:E51"/>
    <mergeCell ref="F45:F51"/>
    <mergeCell ref="AK10:AK144"/>
    <mergeCell ref="AL10:AL144"/>
    <mergeCell ref="G11:G17"/>
    <mergeCell ref="J11:J17"/>
    <mergeCell ref="K11:K17"/>
    <mergeCell ref="L11:L137"/>
    <mergeCell ref="S11:S23"/>
    <mergeCell ref="T11:T23"/>
    <mergeCell ref="U11:U23"/>
    <mergeCell ref="V11:V145"/>
    <mergeCell ref="X26:X27"/>
    <mergeCell ref="G33:G43"/>
    <mergeCell ref="J33:J43"/>
    <mergeCell ref="Y11:Y12"/>
    <mergeCell ref="X12:X13"/>
    <mergeCell ref="Y13:Y14"/>
    <mergeCell ref="X14:X15"/>
    <mergeCell ref="Y15:Y16"/>
    <mergeCell ref="X16:X17"/>
    <mergeCell ref="Y17:Y18"/>
    <mergeCell ref="Y27:Y28"/>
    <mergeCell ref="X28:X29"/>
    <mergeCell ref="Y29:Y30"/>
    <mergeCell ref="X30:X31"/>
    <mergeCell ref="A8:C8"/>
    <mergeCell ref="D8:F8"/>
    <mergeCell ref="AC8:AE8"/>
    <mergeCell ref="AG8:AI8"/>
    <mergeCell ref="X9:Y9"/>
    <mergeCell ref="D10:D18"/>
    <mergeCell ref="E10:E18"/>
    <mergeCell ref="F10:F18"/>
    <mergeCell ref="X10:X11"/>
    <mergeCell ref="W11:W145"/>
    <mergeCell ref="F19:F33"/>
    <mergeCell ref="Y31:Y32"/>
    <mergeCell ref="X32:X33"/>
    <mergeCell ref="Y19:Y20"/>
    <mergeCell ref="X20:X21"/>
    <mergeCell ref="Y21:Y22"/>
    <mergeCell ref="X22:X23"/>
    <mergeCell ref="Y23:Y24"/>
    <mergeCell ref="X24:X25"/>
    <mergeCell ref="Y25:Y26"/>
    <mergeCell ref="X18:X19"/>
    <mergeCell ref="Y39:Y40"/>
    <mergeCell ref="X40:X41"/>
    <mergeCell ref="Y41:Y4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9"/>
  <sheetViews>
    <sheetView tabSelected="1" zoomScale="70" zoomScaleNormal="70" workbookViewId="0">
      <selection activeCell="F8" sqref="F8"/>
    </sheetView>
  </sheetViews>
  <sheetFormatPr defaultRowHeight="14.4" x14ac:dyDescent="0.3"/>
  <cols>
    <col min="1" max="1" width="10.33203125" customWidth="1"/>
    <col min="2" max="2" width="13" customWidth="1"/>
    <col min="3" max="3" width="20.109375" customWidth="1"/>
    <col min="6" max="6" width="11.33203125" customWidth="1"/>
    <col min="7" max="7" width="10.109375" customWidth="1"/>
  </cols>
  <sheetData>
    <row r="1" spans="1:4" x14ac:dyDescent="0.3">
      <c r="A1" s="21">
        <v>1</v>
      </c>
      <c r="B1" s="22">
        <v>24404.620999999999</v>
      </c>
      <c r="C1" s="33">
        <v>11381.826999999999</v>
      </c>
      <c r="D1" t="s">
        <v>253</v>
      </c>
    </row>
    <row r="2" spans="1:4" x14ac:dyDescent="0.3">
      <c r="A2" s="15">
        <v>2</v>
      </c>
      <c r="B2" s="13">
        <v>24328.559000000001</v>
      </c>
      <c r="C2" s="34">
        <v>11406.619000000001</v>
      </c>
      <c r="D2" t="s">
        <v>253</v>
      </c>
    </row>
    <row r="3" spans="1:4" x14ac:dyDescent="0.3">
      <c r="A3" s="16">
        <v>3</v>
      </c>
      <c r="B3" s="12">
        <v>24204.59</v>
      </c>
      <c r="C3" s="35">
        <v>11445.892</v>
      </c>
    </row>
    <row r="4" spans="1:4" x14ac:dyDescent="0.3">
      <c r="A4" s="16">
        <v>4</v>
      </c>
      <c r="B4" s="12">
        <v>24085.294999999998</v>
      </c>
      <c r="C4" s="35">
        <v>11485.816999999999</v>
      </c>
    </row>
    <row r="5" spans="1:4" x14ac:dyDescent="0.3">
      <c r="A5" s="16">
        <v>5</v>
      </c>
      <c r="B5" s="12">
        <v>24041.937999999998</v>
      </c>
      <c r="C5" s="35">
        <v>11461.891</v>
      </c>
    </row>
    <row r="6" spans="1:4" x14ac:dyDescent="0.3">
      <c r="A6" s="16">
        <v>6</v>
      </c>
      <c r="B6" s="12">
        <v>23941.712</v>
      </c>
      <c r="C6" s="35">
        <v>11396.933999999999</v>
      </c>
    </row>
    <row r="7" spans="1:4" x14ac:dyDescent="0.3">
      <c r="A7" s="16">
        <v>7</v>
      </c>
      <c r="B7" s="12">
        <v>23793.257000000001</v>
      </c>
      <c r="C7" s="35">
        <v>11300.442999999999</v>
      </c>
    </row>
    <row r="8" spans="1:4" x14ac:dyDescent="0.3">
      <c r="A8" s="15">
        <v>8</v>
      </c>
      <c r="B8" s="13">
        <v>23677.834999999999</v>
      </c>
      <c r="C8" s="34">
        <v>11169.434999999999</v>
      </c>
      <c r="D8" t="s">
        <v>253</v>
      </c>
    </row>
    <row r="9" spans="1:4" x14ac:dyDescent="0.3">
      <c r="A9" s="15">
        <v>9</v>
      </c>
      <c r="B9" s="13">
        <v>23624.252</v>
      </c>
      <c r="C9" s="34">
        <v>11110.031000000001</v>
      </c>
      <c r="D9" t="s">
        <v>253</v>
      </c>
    </row>
    <row r="10" spans="1:4" x14ac:dyDescent="0.3">
      <c r="A10" s="16">
        <v>10</v>
      </c>
      <c r="B10" s="12">
        <v>23501.352999999999</v>
      </c>
      <c r="C10" s="35">
        <v>10974.691000000001</v>
      </c>
    </row>
    <row r="11" spans="1:4" x14ac:dyDescent="0.3">
      <c r="A11" s="16">
        <v>11</v>
      </c>
      <c r="B11" s="12">
        <v>23367.125</v>
      </c>
      <c r="C11" s="35">
        <v>10827.922</v>
      </c>
    </row>
    <row r="12" spans="1:4" x14ac:dyDescent="0.3">
      <c r="A12" s="16">
        <v>12</v>
      </c>
      <c r="B12" s="12">
        <v>23259.252</v>
      </c>
      <c r="C12" s="35">
        <v>10708.458000000001</v>
      </c>
    </row>
    <row r="13" spans="1:4" x14ac:dyDescent="0.3">
      <c r="A13" s="16">
        <v>13</v>
      </c>
      <c r="B13" s="12">
        <v>23124.969000000001</v>
      </c>
      <c r="C13" s="35">
        <v>10557.499</v>
      </c>
    </row>
    <row r="14" spans="1:4" x14ac:dyDescent="0.3">
      <c r="A14" s="16">
        <v>14</v>
      </c>
      <c r="B14" s="12">
        <v>23142.547999999999</v>
      </c>
      <c r="C14" s="35">
        <v>10559.769</v>
      </c>
    </row>
    <row r="15" spans="1:4" x14ac:dyDescent="0.3">
      <c r="A15" s="16">
        <v>15</v>
      </c>
      <c r="B15" s="12">
        <v>23160.952000000001</v>
      </c>
      <c r="C15" s="35">
        <v>10548.704</v>
      </c>
    </row>
    <row r="16" spans="1:4" x14ac:dyDescent="0.3">
      <c r="A16" s="16">
        <v>16</v>
      </c>
      <c r="B16" s="12">
        <v>23224.667000000001</v>
      </c>
      <c r="C16" s="35">
        <v>10493.647999999999</v>
      </c>
    </row>
    <row r="17" spans="1:4" x14ac:dyDescent="0.3">
      <c r="A17" s="16">
        <v>17</v>
      </c>
      <c r="B17" s="12">
        <v>23283.902999999998</v>
      </c>
      <c r="C17" s="35">
        <v>10559.603999999999</v>
      </c>
    </row>
    <row r="18" spans="1:4" x14ac:dyDescent="0.3">
      <c r="A18" s="16">
        <v>18</v>
      </c>
      <c r="B18" s="12">
        <v>23206.659</v>
      </c>
      <c r="C18" s="35">
        <v>10629.285</v>
      </c>
    </row>
    <row r="19" spans="1:4" x14ac:dyDescent="0.3">
      <c r="A19" s="16">
        <v>19</v>
      </c>
      <c r="B19" s="12">
        <v>23056.995999999999</v>
      </c>
      <c r="C19" s="35">
        <v>10465.076999999999</v>
      </c>
    </row>
    <row r="20" spans="1:4" x14ac:dyDescent="0.3">
      <c r="A20" s="16">
        <v>20</v>
      </c>
      <c r="B20" s="12">
        <v>23041.544999999998</v>
      </c>
      <c r="C20" s="35">
        <v>10459.25</v>
      </c>
    </row>
    <row r="21" spans="1:4" x14ac:dyDescent="0.3">
      <c r="A21" s="16">
        <v>21</v>
      </c>
      <c r="B21" s="12">
        <v>23026.133999999998</v>
      </c>
      <c r="C21" s="35">
        <v>10471.669</v>
      </c>
    </row>
    <row r="22" spans="1:4" x14ac:dyDescent="0.3">
      <c r="A22" s="16">
        <v>22</v>
      </c>
      <c r="B22" s="12">
        <v>22991.486000000001</v>
      </c>
      <c r="C22" s="35">
        <v>10433.923000000001</v>
      </c>
    </row>
    <row r="23" spans="1:4" x14ac:dyDescent="0.3">
      <c r="A23" s="15">
        <v>23</v>
      </c>
      <c r="B23" s="13">
        <v>22982.726999999999</v>
      </c>
      <c r="C23" s="34">
        <v>10442.403</v>
      </c>
      <c r="D23" t="s">
        <v>253</v>
      </c>
    </row>
    <row r="24" spans="1:4" x14ac:dyDescent="0.3">
      <c r="A24" s="15">
        <v>24</v>
      </c>
      <c r="B24" s="13">
        <v>22947.605</v>
      </c>
      <c r="C24" s="34">
        <v>10514.281000000001</v>
      </c>
      <c r="D24" t="s">
        <v>253</v>
      </c>
    </row>
    <row r="25" spans="1:4" x14ac:dyDescent="0.3">
      <c r="A25" s="16">
        <v>25</v>
      </c>
      <c r="B25" s="12">
        <v>22918.746999999999</v>
      </c>
      <c r="C25" s="35">
        <v>10573.335999999999</v>
      </c>
    </row>
    <row r="26" spans="1:4" x14ac:dyDescent="0.3">
      <c r="A26" s="16">
        <v>26</v>
      </c>
      <c r="B26" s="12">
        <v>22905.782999999999</v>
      </c>
      <c r="C26" s="35">
        <v>10559.357</v>
      </c>
    </row>
    <row r="27" spans="1:4" x14ac:dyDescent="0.3">
      <c r="A27" s="16">
        <v>27</v>
      </c>
      <c r="B27" s="12">
        <v>22963.289000000001</v>
      </c>
      <c r="C27" s="35">
        <v>10437.989</v>
      </c>
    </row>
    <row r="28" spans="1:4" x14ac:dyDescent="0.3">
      <c r="A28" s="16">
        <v>28</v>
      </c>
      <c r="B28" s="12">
        <v>22910.400000000001</v>
      </c>
      <c r="C28" s="35">
        <v>10379.365</v>
      </c>
    </row>
    <row r="29" spans="1:4" x14ac:dyDescent="0.3">
      <c r="A29" s="16">
        <v>29</v>
      </c>
      <c r="B29" s="12">
        <v>22839.39</v>
      </c>
      <c r="C29" s="35">
        <v>10299.972</v>
      </c>
    </row>
    <row r="30" spans="1:4" x14ac:dyDescent="0.3">
      <c r="A30" s="16">
        <v>30</v>
      </c>
      <c r="B30" s="12">
        <v>22963.120999999999</v>
      </c>
      <c r="C30" s="35">
        <v>10187.481</v>
      </c>
    </row>
    <row r="31" spans="1:4" x14ac:dyDescent="0.3">
      <c r="A31" s="16">
        <v>31</v>
      </c>
      <c r="B31" s="12">
        <v>23065.420999999998</v>
      </c>
      <c r="C31" s="35">
        <v>10297.183999999999</v>
      </c>
    </row>
    <row r="32" spans="1:4" x14ac:dyDescent="0.3">
      <c r="A32" s="16">
        <v>32</v>
      </c>
      <c r="B32" s="12">
        <v>23167.72</v>
      </c>
      <c r="C32" s="35">
        <v>10406.887000000001</v>
      </c>
    </row>
    <row r="33" spans="1:4" x14ac:dyDescent="0.3">
      <c r="A33" s="16">
        <v>33</v>
      </c>
      <c r="B33" s="12">
        <v>23270.021000000001</v>
      </c>
      <c r="C33" s="35">
        <v>10516.589</v>
      </c>
    </row>
    <row r="34" spans="1:4" x14ac:dyDescent="0.3">
      <c r="A34" s="15">
        <v>34</v>
      </c>
      <c r="B34" s="13">
        <v>23372.321</v>
      </c>
      <c r="C34" s="34">
        <v>10626.291999999999</v>
      </c>
      <c r="D34" t="s">
        <v>253</v>
      </c>
    </row>
    <row r="35" spans="1:4" x14ac:dyDescent="0.3">
      <c r="A35" s="15">
        <v>35</v>
      </c>
      <c r="B35" s="13">
        <v>23426.848000000002</v>
      </c>
      <c r="C35" s="34">
        <v>10684.83</v>
      </c>
      <c r="D35" t="s">
        <v>253</v>
      </c>
    </row>
    <row r="36" spans="1:4" x14ac:dyDescent="0.3">
      <c r="A36" s="16">
        <v>36</v>
      </c>
      <c r="B36" s="12">
        <v>23517.062999999998</v>
      </c>
      <c r="C36" s="35">
        <v>10784.168</v>
      </c>
    </row>
    <row r="37" spans="1:4" x14ac:dyDescent="0.3">
      <c r="A37" s="16">
        <v>37</v>
      </c>
      <c r="B37" s="12">
        <v>23627.371999999999</v>
      </c>
      <c r="C37" s="35">
        <v>10906.494000000001</v>
      </c>
    </row>
    <row r="38" spans="1:4" x14ac:dyDescent="0.3">
      <c r="A38" s="16">
        <v>38</v>
      </c>
      <c r="B38" s="12">
        <v>23715.493999999999</v>
      </c>
      <c r="C38" s="35">
        <v>11004.217000000001</v>
      </c>
    </row>
    <row r="39" spans="1:4" x14ac:dyDescent="0.3">
      <c r="A39" s="16">
        <v>39</v>
      </c>
      <c r="B39" s="12">
        <v>23818.417000000001</v>
      </c>
      <c r="C39" s="35">
        <v>10910.241</v>
      </c>
    </row>
    <row r="40" spans="1:4" x14ac:dyDescent="0.3">
      <c r="A40" s="16">
        <v>40</v>
      </c>
      <c r="B40" s="12">
        <v>23918.824000000001</v>
      </c>
      <c r="C40" s="35">
        <v>11021.679</v>
      </c>
    </row>
    <row r="41" spans="1:4" x14ac:dyDescent="0.3">
      <c r="A41" s="15">
        <v>41</v>
      </c>
      <c r="B41" s="13">
        <v>24019.361000000001</v>
      </c>
      <c r="C41" s="34">
        <v>11133</v>
      </c>
      <c r="D41" t="s">
        <v>253</v>
      </c>
    </row>
    <row r="42" spans="1:4" x14ac:dyDescent="0.3">
      <c r="A42" s="15">
        <v>42</v>
      </c>
      <c r="B42" s="13">
        <v>24072.362000000001</v>
      </c>
      <c r="C42" s="34">
        <v>11192.924000000001</v>
      </c>
      <c r="D42" t="s">
        <v>253</v>
      </c>
    </row>
    <row r="43" spans="1:4" x14ac:dyDescent="0.3">
      <c r="A43" s="16">
        <v>43</v>
      </c>
      <c r="B43" s="12">
        <v>24172.833999999999</v>
      </c>
      <c r="C43" s="35">
        <v>11304.303</v>
      </c>
    </row>
    <row r="44" spans="1:4" x14ac:dyDescent="0.3">
      <c r="A44" s="16">
        <v>44</v>
      </c>
      <c r="B44" s="12">
        <v>24274.493999999999</v>
      </c>
      <c r="C44" s="35">
        <v>11414.6</v>
      </c>
    </row>
    <row r="45" spans="1:4" x14ac:dyDescent="0.3">
      <c r="A45" s="16">
        <v>45</v>
      </c>
      <c r="B45" s="12">
        <v>24383.114000000001</v>
      </c>
      <c r="C45" s="35">
        <v>11518.049000000001</v>
      </c>
    </row>
    <row r="46" spans="1:4" x14ac:dyDescent="0.3">
      <c r="A46" s="16">
        <v>46</v>
      </c>
      <c r="B46" s="12">
        <v>24491.39</v>
      </c>
      <c r="C46" s="35">
        <v>11621.858</v>
      </c>
    </row>
    <row r="47" spans="1:4" x14ac:dyDescent="0.3">
      <c r="A47" s="16">
        <v>47</v>
      </c>
      <c r="B47" s="12">
        <v>24599.618999999999</v>
      </c>
      <c r="C47" s="35">
        <v>11725.715</v>
      </c>
    </row>
    <row r="48" spans="1:4" x14ac:dyDescent="0.3">
      <c r="A48" s="16">
        <v>48</v>
      </c>
      <c r="B48" s="12">
        <v>24707.692999999999</v>
      </c>
      <c r="C48" s="35">
        <v>11829.735000000001</v>
      </c>
    </row>
    <row r="49" spans="1:4" x14ac:dyDescent="0.3">
      <c r="A49" s="15">
        <v>49</v>
      </c>
      <c r="B49" s="13">
        <v>24815.766</v>
      </c>
      <c r="C49" s="34">
        <v>11933.754999999999</v>
      </c>
      <c r="D49" t="s">
        <v>253</v>
      </c>
    </row>
    <row r="50" spans="1:4" x14ac:dyDescent="0.3">
      <c r="A50" s="15">
        <v>50</v>
      </c>
      <c r="B50" s="13">
        <v>24872.056</v>
      </c>
      <c r="C50" s="34">
        <v>11990.602000000001</v>
      </c>
      <c r="D50" t="s">
        <v>253</v>
      </c>
    </row>
    <row r="51" spans="1:4" x14ac:dyDescent="0.3">
      <c r="A51" s="16">
        <v>51</v>
      </c>
      <c r="B51" s="12">
        <v>24938.959999999999</v>
      </c>
      <c r="C51" s="35">
        <v>12052.44</v>
      </c>
    </row>
    <row r="52" spans="1:4" x14ac:dyDescent="0.3">
      <c r="A52" s="16">
        <v>52</v>
      </c>
      <c r="B52" s="12">
        <v>24915.796999999999</v>
      </c>
      <c r="C52" s="35">
        <v>12077.119000000001</v>
      </c>
    </row>
    <row r="53" spans="1:4" x14ac:dyDescent="0.3">
      <c r="A53" s="16">
        <v>53</v>
      </c>
      <c r="B53" s="12">
        <v>24952.764999999999</v>
      </c>
      <c r="C53" s="35">
        <v>12156.616</v>
      </c>
    </row>
    <row r="54" spans="1:4" x14ac:dyDescent="0.3">
      <c r="A54" s="16">
        <v>54</v>
      </c>
      <c r="B54" s="12">
        <v>24956.317999999999</v>
      </c>
      <c r="C54" s="35">
        <v>12209.855</v>
      </c>
    </row>
    <row r="55" spans="1:4" x14ac:dyDescent="0.3">
      <c r="A55" s="16">
        <v>55</v>
      </c>
      <c r="B55" s="12">
        <v>24886.937000000002</v>
      </c>
      <c r="C55" s="35">
        <v>12289.803</v>
      </c>
    </row>
    <row r="56" spans="1:4" x14ac:dyDescent="0.3">
      <c r="A56" s="16">
        <v>56</v>
      </c>
      <c r="B56" s="12">
        <v>24819.213</v>
      </c>
      <c r="C56" s="35">
        <v>12423.645</v>
      </c>
    </row>
    <row r="57" spans="1:4" x14ac:dyDescent="0.3">
      <c r="A57" s="16">
        <v>57</v>
      </c>
      <c r="B57" s="12">
        <v>24751.412</v>
      </c>
      <c r="C57" s="35">
        <v>12557.447</v>
      </c>
    </row>
    <row r="58" spans="1:4" x14ac:dyDescent="0.3">
      <c r="A58" s="16">
        <v>58</v>
      </c>
      <c r="B58" s="12">
        <v>24709.367999999999</v>
      </c>
      <c r="C58" s="35">
        <v>12640.361000000001</v>
      </c>
    </row>
    <row r="59" spans="1:4" x14ac:dyDescent="0.3">
      <c r="A59" s="16">
        <v>59</v>
      </c>
      <c r="B59" s="12">
        <v>24741.309000000001</v>
      </c>
      <c r="C59" s="35">
        <v>12628.966</v>
      </c>
    </row>
    <row r="60" spans="1:4" x14ac:dyDescent="0.3">
      <c r="A60" s="16">
        <v>60</v>
      </c>
      <c r="B60" s="12">
        <v>24729.618999999999</v>
      </c>
      <c r="C60" s="35">
        <v>12665.348</v>
      </c>
    </row>
    <row r="61" spans="1:4" x14ac:dyDescent="0.3">
      <c r="A61" s="16">
        <v>61</v>
      </c>
      <c r="B61" s="12">
        <v>24755.016</v>
      </c>
      <c r="C61" s="35">
        <v>12745.723</v>
      </c>
    </row>
    <row r="62" spans="1:4" x14ac:dyDescent="0.3">
      <c r="A62" s="16">
        <v>62</v>
      </c>
      <c r="B62" s="12">
        <v>24688.645</v>
      </c>
      <c r="C62" s="35">
        <v>12886.315000000001</v>
      </c>
    </row>
    <row r="63" spans="1:4" x14ac:dyDescent="0.3">
      <c r="A63" s="16">
        <v>63</v>
      </c>
      <c r="B63" s="12">
        <v>24729.805</v>
      </c>
      <c r="C63" s="35">
        <v>12946.11</v>
      </c>
    </row>
    <row r="64" spans="1:4" x14ac:dyDescent="0.3">
      <c r="A64" s="16">
        <v>64</v>
      </c>
      <c r="B64" s="12">
        <v>24725.003000000001</v>
      </c>
      <c r="C64" s="35">
        <v>12983.637000000001</v>
      </c>
    </row>
    <row r="65" spans="1:4" x14ac:dyDescent="0.3">
      <c r="A65" s="15">
        <v>65</v>
      </c>
      <c r="B65" s="13">
        <v>24814.185000000001</v>
      </c>
      <c r="C65" s="34">
        <v>13109.89</v>
      </c>
      <c r="D65" t="s">
        <v>253</v>
      </c>
    </row>
    <row r="66" spans="1:4" x14ac:dyDescent="0.3">
      <c r="A66" s="15">
        <v>66</v>
      </c>
      <c r="B66" s="13">
        <v>24861.375</v>
      </c>
      <c r="C66" s="34">
        <v>13174.49</v>
      </c>
      <c r="D66" t="s">
        <v>253</v>
      </c>
    </row>
    <row r="67" spans="1:4" x14ac:dyDescent="0.3">
      <c r="A67" s="16">
        <v>67</v>
      </c>
      <c r="B67" s="12">
        <v>24947.885999999999</v>
      </c>
      <c r="C67" s="35">
        <v>13297.014999999999</v>
      </c>
    </row>
    <row r="68" spans="1:4" x14ac:dyDescent="0.3">
      <c r="A68" s="16">
        <v>68</v>
      </c>
      <c r="B68" s="12">
        <v>25015.378000000001</v>
      </c>
      <c r="C68" s="35">
        <v>13391.91</v>
      </c>
    </row>
    <row r="69" spans="1:4" x14ac:dyDescent="0.3">
      <c r="A69" s="16">
        <v>69</v>
      </c>
      <c r="B69" s="12">
        <v>25058.385999999999</v>
      </c>
      <c r="C69" s="35">
        <v>13535.611999999999</v>
      </c>
    </row>
    <row r="70" spans="1:4" x14ac:dyDescent="0.3">
      <c r="A70" s="16">
        <v>70</v>
      </c>
      <c r="B70" s="12">
        <v>25087.911</v>
      </c>
      <c r="C70" s="35">
        <v>13634.262000000001</v>
      </c>
    </row>
    <row r="71" spans="1:4" x14ac:dyDescent="0.3">
      <c r="A71" s="16">
        <v>71</v>
      </c>
      <c r="B71" s="12">
        <v>25078.13</v>
      </c>
      <c r="C71" s="35">
        <v>13663.437</v>
      </c>
    </row>
    <row r="72" spans="1:4" x14ac:dyDescent="0.3">
      <c r="A72" s="16">
        <v>72</v>
      </c>
      <c r="B72" s="12">
        <v>25089.065999999999</v>
      </c>
      <c r="C72" s="35">
        <v>13704.306</v>
      </c>
    </row>
    <row r="73" spans="1:4" x14ac:dyDescent="0.3">
      <c r="A73" s="16">
        <v>73</v>
      </c>
      <c r="B73" s="12">
        <v>25069.671999999999</v>
      </c>
      <c r="C73" s="35">
        <v>13708.778</v>
      </c>
    </row>
    <row r="74" spans="1:4" x14ac:dyDescent="0.3">
      <c r="A74" s="16">
        <v>74</v>
      </c>
      <c r="B74" s="12">
        <v>25051.161</v>
      </c>
      <c r="C74" s="35">
        <v>13646.105</v>
      </c>
    </row>
    <row r="75" spans="1:4" x14ac:dyDescent="0.3">
      <c r="A75" s="16">
        <v>75</v>
      </c>
      <c r="B75" s="12">
        <v>24957.521000000001</v>
      </c>
      <c r="C75" s="35">
        <v>13528.923000000001</v>
      </c>
    </row>
    <row r="76" spans="1:4" x14ac:dyDescent="0.3">
      <c r="A76" s="16">
        <v>76</v>
      </c>
      <c r="B76" s="12">
        <v>24863.881000000001</v>
      </c>
      <c r="C76" s="35">
        <v>13411.741</v>
      </c>
    </row>
    <row r="77" spans="1:4" x14ac:dyDescent="0.3">
      <c r="A77" s="16">
        <v>77</v>
      </c>
      <c r="B77" s="12">
        <v>24770.241000000002</v>
      </c>
      <c r="C77" s="35">
        <v>13294.558999999999</v>
      </c>
    </row>
    <row r="78" spans="1:4" x14ac:dyDescent="0.3">
      <c r="A78" s="16">
        <v>78</v>
      </c>
      <c r="B78" s="12">
        <v>24735.772000000001</v>
      </c>
      <c r="C78" s="35">
        <v>13251.424000000001</v>
      </c>
    </row>
    <row r="79" spans="1:4" x14ac:dyDescent="0.3">
      <c r="A79" s="16">
        <v>79</v>
      </c>
      <c r="B79" s="12">
        <v>24723.383999999998</v>
      </c>
      <c r="C79" s="35">
        <v>13261.74</v>
      </c>
    </row>
    <row r="80" spans="1:4" x14ac:dyDescent="0.3">
      <c r="A80" s="16">
        <v>80</v>
      </c>
      <c r="B80" s="12">
        <v>24710.518</v>
      </c>
      <c r="C80" s="35">
        <v>13248.023999999999</v>
      </c>
    </row>
    <row r="81" spans="1:4" x14ac:dyDescent="0.3">
      <c r="A81" s="16">
        <v>81</v>
      </c>
      <c r="B81" s="12">
        <v>24676.620999999999</v>
      </c>
      <c r="C81" s="35">
        <v>13256.727999999999</v>
      </c>
    </row>
    <row r="82" spans="1:4" x14ac:dyDescent="0.3">
      <c r="A82" s="16">
        <v>82</v>
      </c>
      <c r="B82" s="12">
        <v>24664.142</v>
      </c>
      <c r="C82" s="35">
        <v>13238.386</v>
      </c>
    </row>
    <row r="83" spans="1:4" x14ac:dyDescent="0.3">
      <c r="A83" s="16">
        <v>83</v>
      </c>
      <c r="B83" s="12">
        <v>24571.456999999999</v>
      </c>
      <c r="C83" s="35">
        <v>13274.1</v>
      </c>
    </row>
    <row r="84" spans="1:4" x14ac:dyDescent="0.3">
      <c r="A84" s="15">
        <v>84</v>
      </c>
      <c r="B84" s="13">
        <v>24547.417000000001</v>
      </c>
      <c r="C84" s="34">
        <v>13263.478999999999</v>
      </c>
      <c r="D84" t="s">
        <v>253</v>
      </c>
    </row>
    <row r="85" spans="1:4" x14ac:dyDescent="0.3">
      <c r="A85" s="15">
        <v>85</v>
      </c>
      <c r="B85" s="13">
        <v>24535.798999999999</v>
      </c>
      <c r="C85" s="34">
        <v>13184.326999999999</v>
      </c>
      <c r="D85" t="s">
        <v>253</v>
      </c>
    </row>
    <row r="86" spans="1:4" x14ac:dyDescent="0.3">
      <c r="A86" s="16">
        <v>86</v>
      </c>
      <c r="B86" s="12">
        <v>24531.18</v>
      </c>
      <c r="C86" s="35">
        <v>13154.034</v>
      </c>
    </row>
    <row r="87" spans="1:4" x14ac:dyDescent="0.3">
      <c r="A87" s="16">
        <v>87</v>
      </c>
      <c r="B87" s="12">
        <v>24497.421999999999</v>
      </c>
      <c r="C87" s="35">
        <v>13159.995000000001</v>
      </c>
    </row>
    <row r="88" spans="1:4" x14ac:dyDescent="0.3">
      <c r="A88" s="16">
        <v>88</v>
      </c>
      <c r="B88" s="12">
        <v>24466.999</v>
      </c>
      <c r="C88" s="35">
        <v>13192.994000000001</v>
      </c>
    </row>
    <row r="89" spans="1:4" x14ac:dyDescent="0.3">
      <c r="A89" s="16">
        <v>89</v>
      </c>
      <c r="B89" s="12">
        <v>24417.559000000001</v>
      </c>
      <c r="C89" s="35">
        <v>13249.175999999999</v>
      </c>
    </row>
    <row r="90" spans="1:4" x14ac:dyDescent="0.3">
      <c r="A90" s="16">
        <v>90</v>
      </c>
      <c r="B90" s="12">
        <v>24425.237000000001</v>
      </c>
      <c r="C90" s="35">
        <v>13272.81</v>
      </c>
    </row>
    <row r="91" spans="1:4" x14ac:dyDescent="0.3">
      <c r="A91" s="16">
        <v>91</v>
      </c>
      <c r="B91" s="12">
        <v>24444.460999999999</v>
      </c>
      <c r="C91" s="35">
        <v>13286.646000000001</v>
      </c>
    </row>
    <row r="92" spans="1:4" x14ac:dyDescent="0.3">
      <c r="A92" s="16">
        <v>92</v>
      </c>
      <c r="B92" s="12">
        <v>24460.665000000001</v>
      </c>
      <c r="C92" s="35">
        <v>13284.385</v>
      </c>
    </row>
    <row r="93" spans="1:4" x14ac:dyDescent="0.3">
      <c r="A93" s="16">
        <v>93</v>
      </c>
      <c r="B93" s="12">
        <v>24497.876</v>
      </c>
      <c r="C93" s="35">
        <v>13245.099</v>
      </c>
    </row>
    <row r="94" spans="1:4" x14ac:dyDescent="0.3">
      <c r="A94" s="16">
        <v>94</v>
      </c>
      <c r="B94" s="12">
        <v>24500.05</v>
      </c>
      <c r="C94" s="35">
        <v>13228.054</v>
      </c>
    </row>
    <row r="95" spans="1:4" x14ac:dyDescent="0.3">
      <c r="A95" s="16">
        <v>95</v>
      </c>
      <c r="B95" s="12">
        <v>24488.977999999999</v>
      </c>
      <c r="C95" s="35">
        <v>13212.569</v>
      </c>
    </row>
    <row r="96" spans="1:4" x14ac:dyDescent="0.3">
      <c r="A96" s="16">
        <v>96</v>
      </c>
      <c r="B96" s="12">
        <v>24469.607</v>
      </c>
      <c r="C96" s="35">
        <v>13194.996999999999</v>
      </c>
    </row>
    <row r="97" spans="1:3" x14ac:dyDescent="0.3">
      <c r="A97" s="16">
        <v>97</v>
      </c>
      <c r="B97" s="12">
        <v>24423.93</v>
      </c>
      <c r="C97" s="35">
        <v>13238.48</v>
      </c>
    </row>
    <row r="98" spans="1:3" x14ac:dyDescent="0.3">
      <c r="A98" s="16">
        <v>98</v>
      </c>
      <c r="B98" s="12">
        <v>24395.228999999999</v>
      </c>
      <c r="C98" s="35">
        <v>13269.121999999999</v>
      </c>
    </row>
    <row r="99" spans="1:3" x14ac:dyDescent="0.3">
      <c r="A99" s="16">
        <v>99</v>
      </c>
      <c r="B99" s="12">
        <v>24392.897000000001</v>
      </c>
      <c r="C99" s="35">
        <v>13293.191999999999</v>
      </c>
    </row>
    <row r="100" spans="1:3" x14ac:dyDescent="0.3">
      <c r="A100" s="16">
        <v>100</v>
      </c>
      <c r="B100" s="12">
        <v>24424.016</v>
      </c>
      <c r="C100" s="35">
        <v>13316.143</v>
      </c>
    </row>
    <row r="101" spans="1:3" x14ac:dyDescent="0.3">
      <c r="A101" s="16">
        <v>101</v>
      </c>
      <c r="B101" s="12">
        <v>24452.858</v>
      </c>
      <c r="C101" s="35">
        <v>13295.744000000001</v>
      </c>
    </row>
    <row r="102" spans="1:3" x14ac:dyDescent="0.3">
      <c r="A102" s="16">
        <v>102</v>
      </c>
      <c r="B102" s="12">
        <v>24501.623</v>
      </c>
      <c r="C102" s="35">
        <v>13237.181</v>
      </c>
    </row>
    <row r="103" spans="1:3" x14ac:dyDescent="0.3">
      <c r="A103" s="16">
        <v>103</v>
      </c>
      <c r="B103" s="12">
        <v>24495.866999999998</v>
      </c>
      <c r="C103" s="35">
        <v>13218.957</v>
      </c>
    </row>
    <row r="104" spans="1:3" x14ac:dyDescent="0.3">
      <c r="A104" s="16">
        <v>104</v>
      </c>
      <c r="B104" s="12">
        <v>24468.263999999999</v>
      </c>
      <c r="C104" s="35">
        <v>13193.455</v>
      </c>
    </row>
    <row r="105" spans="1:3" x14ac:dyDescent="0.3">
      <c r="A105" s="16">
        <v>105</v>
      </c>
      <c r="B105" s="12">
        <v>24426.207999999999</v>
      </c>
      <c r="C105" s="35">
        <v>13234.608</v>
      </c>
    </row>
    <row r="106" spans="1:3" x14ac:dyDescent="0.3">
      <c r="A106" s="16">
        <v>106</v>
      </c>
      <c r="B106" s="12">
        <v>24391.171999999999</v>
      </c>
      <c r="C106" s="35">
        <v>13272.781000000001</v>
      </c>
    </row>
    <row r="107" spans="1:3" x14ac:dyDescent="0.3">
      <c r="A107" s="16">
        <v>107</v>
      </c>
      <c r="B107" s="12">
        <v>24395.494999999999</v>
      </c>
      <c r="C107" s="35">
        <v>13298.133</v>
      </c>
    </row>
    <row r="108" spans="1:3" x14ac:dyDescent="0.3">
      <c r="A108" s="16">
        <v>108</v>
      </c>
      <c r="B108" s="12">
        <v>24429.165000000001</v>
      </c>
      <c r="C108" s="35">
        <v>13315.915999999999</v>
      </c>
    </row>
    <row r="109" spans="1:3" x14ac:dyDescent="0.3">
      <c r="A109" s="16">
        <v>109</v>
      </c>
      <c r="B109" s="12">
        <v>24499.89</v>
      </c>
      <c r="C109" s="35">
        <v>13242.212</v>
      </c>
    </row>
    <row r="110" spans="1:3" x14ac:dyDescent="0.3">
      <c r="A110" s="16">
        <v>110</v>
      </c>
      <c r="B110" s="12">
        <v>24498.616999999998</v>
      </c>
      <c r="C110" s="35">
        <v>13222.138999999999</v>
      </c>
    </row>
    <row r="111" spans="1:3" x14ac:dyDescent="0.3">
      <c r="A111" s="16">
        <v>111</v>
      </c>
      <c r="B111" s="12">
        <v>24466.855</v>
      </c>
      <c r="C111" s="35">
        <v>13193.401</v>
      </c>
    </row>
    <row r="112" spans="1:3" x14ac:dyDescent="0.3">
      <c r="A112" s="16">
        <v>112</v>
      </c>
      <c r="B112" s="12">
        <v>24389.856</v>
      </c>
      <c r="C112" s="35">
        <v>13277.421</v>
      </c>
    </row>
    <row r="113" spans="1:4" x14ac:dyDescent="0.3">
      <c r="A113" s="16">
        <v>113</v>
      </c>
      <c r="B113" s="12">
        <v>24401.972000000002</v>
      </c>
      <c r="C113" s="35">
        <v>13303.984</v>
      </c>
    </row>
    <row r="114" spans="1:4" x14ac:dyDescent="0.3">
      <c r="A114" s="15">
        <v>114</v>
      </c>
      <c r="B114" s="13">
        <v>24429.452000000001</v>
      </c>
      <c r="C114" s="34">
        <v>13314.684999999999</v>
      </c>
      <c r="D114" t="s">
        <v>253</v>
      </c>
    </row>
    <row r="115" spans="1:4" x14ac:dyDescent="0.3">
      <c r="A115" s="15">
        <v>115</v>
      </c>
      <c r="B115" s="13">
        <v>24502.345000000001</v>
      </c>
      <c r="C115" s="34">
        <v>13238.319</v>
      </c>
      <c r="D115" t="s">
        <v>253</v>
      </c>
    </row>
    <row r="116" spans="1:4" x14ac:dyDescent="0.3">
      <c r="A116" s="16">
        <v>116</v>
      </c>
      <c r="B116" s="12">
        <v>24499.271000000001</v>
      </c>
      <c r="C116" s="35">
        <v>13222.142</v>
      </c>
    </row>
    <row r="117" spans="1:4" x14ac:dyDescent="0.3">
      <c r="A117" s="16">
        <v>117</v>
      </c>
      <c r="B117" s="12">
        <v>24468.614000000001</v>
      </c>
      <c r="C117" s="35">
        <v>13192.259</v>
      </c>
    </row>
    <row r="118" spans="1:4" x14ac:dyDescent="0.3">
      <c r="A118" s="16">
        <v>118</v>
      </c>
      <c r="B118" s="12">
        <v>24479.512999999999</v>
      </c>
      <c r="C118" s="35">
        <v>13180.51</v>
      </c>
    </row>
    <row r="119" spans="1:4" x14ac:dyDescent="0.3">
      <c r="A119" s="16">
        <v>119</v>
      </c>
      <c r="B119" s="12">
        <v>24474.617999999999</v>
      </c>
      <c r="C119" s="35">
        <v>13161.598</v>
      </c>
    </row>
    <row r="120" spans="1:4" x14ac:dyDescent="0.3">
      <c r="A120" s="16">
        <v>120</v>
      </c>
      <c r="B120" s="12">
        <v>24456.422999999999</v>
      </c>
      <c r="C120" s="35">
        <v>13158.763999999999</v>
      </c>
    </row>
    <row r="121" spans="1:4" x14ac:dyDescent="0.3">
      <c r="A121" s="16">
        <v>121</v>
      </c>
      <c r="B121" s="12">
        <v>24369.016</v>
      </c>
      <c r="C121" s="35">
        <v>13191.217000000001</v>
      </c>
    </row>
    <row r="122" spans="1:4" x14ac:dyDescent="0.3">
      <c r="A122" s="16">
        <v>122</v>
      </c>
      <c r="B122" s="12">
        <v>24334.741999999998</v>
      </c>
      <c r="C122" s="35">
        <v>13202.534</v>
      </c>
    </row>
    <row r="123" spans="1:4" x14ac:dyDescent="0.3">
      <c r="A123" s="16">
        <v>123</v>
      </c>
      <c r="B123" s="12">
        <v>24323.538</v>
      </c>
      <c r="C123" s="35">
        <v>13182.217000000001</v>
      </c>
    </row>
    <row r="124" spans="1:4" x14ac:dyDescent="0.3">
      <c r="A124" s="16">
        <v>124</v>
      </c>
      <c r="B124" s="12">
        <v>24259.987000000001</v>
      </c>
      <c r="C124" s="35">
        <v>13115.959000000001</v>
      </c>
    </row>
    <row r="125" spans="1:4" x14ac:dyDescent="0.3">
      <c r="A125" s="16">
        <v>125</v>
      </c>
      <c r="B125" s="12">
        <v>24304.217000000001</v>
      </c>
      <c r="C125" s="35">
        <v>13074.058999999999</v>
      </c>
    </row>
    <row r="126" spans="1:4" x14ac:dyDescent="0.3">
      <c r="A126" s="16">
        <v>126</v>
      </c>
      <c r="B126" s="12">
        <v>24335.655999999999</v>
      </c>
      <c r="C126" s="35">
        <v>13044.679</v>
      </c>
    </row>
    <row r="127" spans="1:4" x14ac:dyDescent="0.3">
      <c r="A127" s="16">
        <v>127</v>
      </c>
      <c r="B127" s="12">
        <v>24330.580999999998</v>
      </c>
      <c r="C127" s="35">
        <v>13031.858</v>
      </c>
    </row>
    <row r="128" spans="1:4" x14ac:dyDescent="0.3">
      <c r="A128" s="15">
        <v>128</v>
      </c>
      <c r="B128" s="13">
        <v>24272.958999999999</v>
      </c>
      <c r="C128" s="34">
        <v>12976.144</v>
      </c>
      <c r="D128" t="s">
        <v>253</v>
      </c>
    </row>
    <row r="129" spans="1:4" x14ac:dyDescent="0.3">
      <c r="A129" s="15">
        <v>129</v>
      </c>
      <c r="B129" s="13">
        <v>24216.885999999999</v>
      </c>
      <c r="C129" s="34">
        <v>12914.263999999999</v>
      </c>
      <c r="D129" t="s">
        <v>253</v>
      </c>
    </row>
    <row r="130" spans="1:4" x14ac:dyDescent="0.3">
      <c r="A130" s="16">
        <v>130</v>
      </c>
      <c r="B130" s="12">
        <v>24190.305</v>
      </c>
      <c r="C130" s="17">
        <v>12921.781000000001</v>
      </c>
    </row>
    <row r="131" spans="1:4" x14ac:dyDescent="0.3">
      <c r="A131" s="16">
        <v>131</v>
      </c>
      <c r="B131" s="12">
        <v>24149.77</v>
      </c>
      <c r="C131" s="17">
        <v>12931.812</v>
      </c>
    </row>
    <row r="132" spans="1:4" x14ac:dyDescent="0.3">
      <c r="A132" s="16">
        <v>132</v>
      </c>
      <c r="B132" s="12">
        <v>24149.253000000001</v>
      </c>
      <c r="C132" s="17">
        <v>12874.362999999999</v>
      </c>
    </row>
    <row r="133" spans="1:4" x14ac:dyDescent="0.3">
      <c r="A133" s="16">
        <v>133</v>
      </c>
      <c r="B133" s="12">
        <v>24140.904999999999</v>
      </c>
      <c r="C133" s="17">
        <v>12863.257</v>
      </c>
    </row>
    <row r="134" spans="1:4" x14ac:dyDescent="0.3">
      <c r="A134" s="16">
        <v>134</v>
      </c>
      <c r="B134" s="12">
        <v>24125.669000000002</v>
      </c>
      <c r="C134" s="17">
        <v>12855.907999999999</v>
      </c>
    </row>
    <row r="135" spans="1:4" x14ac:dyDescent="0.3">
      <c r="A135" s="16">
        <v>135</v>
      </c>
      <c r="B135" s="12">
        <v>24119.396000000001</v>
      </c>
      <c r="C135" s="17">
        <v>12838.896000000001</v>
      </c>
    </row>
    <row r="136" spans="1:4" ht="15" thickBot="1" x14ac:dyDescent="0.35">
      <c r="A136" s="18">
        <v>136</v>
      </c>
      <c r="B136" s="19">
        <v>24119.395</v>
      </c>
      <c r="C136" s="20">
        <v>12783.175999999999</v>
      </c>
    </row>
    <row r="137" spans="1:4" x14ac:dyDescent="0.3">
      <c r="A137" s="11"/>
      <c r="B137" s="11"/>
      <c r="C137" s="11"/>
    </row>
    <row r="138" spans="1:4" x14ac:dyDescent="0.3">
      <c r="A138" s="11"/>
      <c r="B138" s="11"/>
      <c r="C138" s="11"/>
    </row>
    <row r="139" spans="1:4" x14ac:dyDescent="0.3">
      <c r="A139" s="11"/>
      <c r="B139" s="11"/>
      <c r="C139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20сек</vt:lpstr>
      <vt:lpstr>10сек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2026-10-12T09:24:08Z</dcterms:modified>
</cp:coreProperties>
</file>